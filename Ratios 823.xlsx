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_c\OneDrive\Documentos\GuruFocus\"/>
    </mc:Choice>
  </mc:AlternateContent>
  <xr:revisionPtr revIDLastSave="0" documentId="13_ncr:1_{1A373866-AD51-4BE3-A54F-C2253A57D3E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KSE_00823" sheetId="1" r:id="rId1"/>
    <sheet name="Ratios" sheetId="2" r:id="rId2"/>
    <sheet name="Valuació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S24" i="2" l="1"/>
  <c r="F7" i="3"/>
  <c r="S16" i="2"/>
  <c r="G49" i="2"/>
  <c r="H49" i="2"/>
  <c r="I49" i="2"/>
  <c r="J49" i="2"/>
  <c r="K49" i="2"/>
  <c r="L49" i="2"/>
  <c r="M49" i="2"/>
  <c r="N49" i="2"/>
  <c r="O49" i="2"/>
  <c r="P49" i="2"/>
  <c r="Q49" i="2"/>
  <c r="F49" i="2"/>
  <c r="G48" i="2"/>
  <c r="H48" i="2"/>
  <c r="I48" i="2"/>
  <c r="J48" i="2"/>
  <c r="K48" i="2"/>
  <c r="L48" i="2"/>
  <c r="M48" i="2"/>
  <c r="N48" i="2"/>
  <c r="O48" i="2"/>
  <c r="Q48" i="2"/>
  <c r="F48" i="2"/>
  <c r="G47" i="2"/>
  <c r="H47" i="2"/>
  <c r="I47" i="2"/>
  <c r="J47" i="2"/>
  <c r="K47" i="2"/>
  <c r="L47" i="2"/>
  <c r="M47" i="2"/>
  <c r="N47" i="2"/>
  <c r="O47" i="2"/>
  <c r="P47" i="2"/>
  <c r="Q47" i="2"/>
  <c r="F47" i="2"/>
  <c r="G46" i="2"/>
  <c r="H46" i="2"/>
  <c r="I46" i="2"/>
  <c r="J46" i="2"/>
  <c r="K46" i="2"/>
  <c r="L46" i="2"/>
  <c r="M46" i="2"/>
  <c r="N46" i="2"/>
  <c r="O46" i="2"/>
  <c r="P46" i="2"/>
  <c r="Q46" i="2"/>
  <c r="F46" i="2"/>
  <c r="G44" i="2"/>
  <c r="H44" i="2"/>
  <c r="I44" i="2"/>
  <c r="J44" i="2"/>
  <c r="K44" i="2"/>
  <c r="L44" i="2"/>
  <c r="M44" i="2"/>
  <c r="N44" i="2"/>
  <c r="O44" i="2"/>
  <c r="P44" i="2"/>
  <c r="Q44" i="2"/>
  <c r="F44" i="2"/>
  <c r="G43" i="2"/>
  <c r="H43" i="2"/>
  <c r="I43" i="2"/>
  <c r="J43" i="2"/>
  <c r="K43" i="2"/>
  <c r="L43" i="2"/>
  <c r="M43" i="2"/>
  <c r="N43" i="2"/>
  <c r="O43" i="2"/>
  <c r="P43" i="2"/>
  <c r="Q43" i="2"/>
  <c r="F43" i="2"/>
  <c r="G42" i="2"/>
  <c r="H42" i="2"/>
  <c r="I42" i="2"/>
  <c r="J42" i="2"/>
  <c r="K42" i="2"/>
  <c r="L42" i="2"/>
  <c r="M42" i="2"/>
  <c r="N42" i="2"/>
  <c r="O42" i="2"/>
  <c r="P42" i="2"/>
  <c r="Q42" i="2"/>
  <c r="F42" i="2"/>
  <c r="G41" i="2"/>
  <c r="H41" i="2"/>
  <c r="I41" i="2"/>
  <c r="J41" i="2"/>
  <c r="K41" i="2"/>
  <c r="L41" i="2"/>
  <c r="M41" i="2"/>
  <c r="N41" i="2"/>
  <c r="O41" i="2"/>
  <c r="P41" i="2"/>
  <c r="Q41" i="2"/>
  <c r="F41" i="2"/>
  <c r="S41" i="2" s="1"/>
  <c r="G40" i="2"/>
  <c r="H40" i="2"/>
  <c r="I40" i="2"/>
  <c r="J40" i="2"/>
  <c r="K40" i="2"/>
  <c r="L40" i="2"/>
  <c r="M40" i="2"/>
  <c r="N40" i="2"/>
  <c r="O40" i="2"/>
  <c r="P40" i="2"/>
  <c r="Q40" i="2"/>
  <c r="F40" i="2"/>
  <c r="S40" i="2" s="1"/>
  <c r="G39" i="2"/>
  <c r="H39" i="2"/>
  <c r="I39" i="2"/>
  <c r="J39" i="2"/>
  <c r="K39" i="2"/>
  <c r="L39" i="2"/>
  <c r="M39" i="2"/>
  <c r="N39" i="2"/>
  <c r="O39" i="2"/>
  <c r="P39" i="2"/>
  <c r="Q39" i="2"/>
  <c r="F39" i="2"/>
  <c r="G38" i="2"/>
  <c r="H38" i="2"/>
  <c r="I38" i="2"/>
  <c r="J38" i="2"/>
  <c r="K38" i="2"/>
  <c r="L38" i="2"/>
  <c r="M38" i="2"/>
  <c r="N38" i="2"/>
  <c r="O38" i="2"/>
  <c r="P38" i="2"/>
  <c r="Q38" i="2"/>
  <c r="F38" i="2"/>
  <c r="S38" i="2" s="1"/>
  <c r="G37" i="2"/>
  <c r="H37" i="2"/>
  <c r="I37" i="2"/>
  <c r="J37" i="2"/>
  <c r="K37" i="2"/>
  <c r="L37" i="2"/>
  <c r="M37" i="2"/>
  <c r="N37" i="2"/>
  <c r="O37" i="2"/>
  <c r="P37" i="2"/>
  <c r="Q37" i="2"/>
  <c r="F37" i="2"/>
  <c r="G36" i="2"/>
  <c r="H36" i="2"/>
  <c r="I36" i="2"/>
  <c r="J36" i="2"/>
  <c r="K36" i="2"/>
  <c r="L36" i="2"/>
  <c r="M36" i="2"/>
  <c r="N36" i="2"/>
  <c r="O36" i="2"/>
  <c r="P36" i="2"/>
  <c r="Q36" i="2"/>
  <c r="F36" i="2"/>
  <c r="S36" i="2" s="1"/>
  <c r="G35" i="2"/>
  <c r="H35" i="2"/>
  <c r="I35" i="2"/>
  <c r="J35" i="2"/>
  <c r="K35" i="2"/>
  <c r="L35" i="2"/>
  <c r="M35" i="2"/>
  <c r="N35" i="2"/>
  <c r="O35" i="2"/>
  <c r="P35" i="2"/>
  <c r="Q35" i="2"/>
  <c r="P34" i="2" s="1"/>
  <c r="S34" i="2" s="1"/>
  <c r="F35" i="2"/>
  <c r="G33" i="2"/>
  <c r="H33" i="2"/>
  <c r="I33" i="2"/>
  <c r="J33" i="2"/>
  <c r="K33" i="2"/>
  <c r="L33" i="2"/>
  <c r="M33" i="2"/>
  <c r="N33" i="2"/>
  <c r="O33" i="2"/>
  <c r="P33" i="2"/>
  <c r="Q33" i="2"/>
  <c r="F33" i="2"/>
  <c r="G32" i="2"/>
  <c r="H32" i="2"/>
  <c r="I32" i="2"/>
  <c r="J32" i="2"/>
  <c r="K32" i="2"/>
  <c r="L32" i="2"/>
  <c r="M32" i="2"/>
  <c r="N32" i="2"/>
  <c r="O32" i="2"/>
  <c r="P32" i="2"/>
  <c r="Q32" i="2"/>
  <c r="F32" i="2"/>
  <c r="S32" i="2" s="1"/>
  <c r="G31" i="2"/>
  <c r="H31" i="2"/>
  <c r="I31" i="2"/>
  <c r="J31" i="2"/>
  <c r="K31" i="2"/>
  <c r="L31" i="2"/>
  <c r="M31" i="2"/>
  <c r="N31" i="2"/>
  <c r="O31" i="2"/>
  <c r="P31" i="2"/>
  <c r="Q31" i="2"/>
  <c r="F31" i="2"/>
  <c r="G30" i="2"/>
  <c r="H30" i="2"/>
  <c r="I30" i="2"/>
  <c r="J30" i="2"/>
  <c r="K30" i="2"/>
  <c r="L30" i="2"/>
  <c r="M30" i="2"/>
  <c r="N30" i="2"/>
  <c r="O30" i="2"/>
  <c r="P30" i="2"/>
  <c r="Q30" i="2"/>
  <c r="F30" i="2"/>
  <c r="S30" i="2" s="1"/>
  <c r="G29" i="2"/>
  <c r="H29" i="2"/>
  <c r="I29" i="2"/>
  <c r="J29" i="2"/>
  <c r="K29" i="2"/>
  <c r="L29" i="2"/>
  <c r="M29" i="2"/>
  <c r="N29" i="2"/>
  <c r="O29" i="2"/>
  <c r="P29" i="2"/>
  <c r="Q29" i="2"/>
  <c r="F29" i="2"/>
  <c r="S29" i="2" s="1"/>
  <c r="G28" i="2"/>
  <c r="H28" i="2"/>
  <c r="I28" i="2"/>
  <c r="J28" i="2"/>
  <c r="K28" i="2"/>
  <c r="L28" i="2"/>
  <c r="M28" i="2"/>
  <c r="N28" i="2"/>
  <c r="O28" i="2"/>
  <c r="P28" i="2"/>
  <c r="Q28" i="2"/>
  <c r="F28" i="2"/>
  <c r="G27" i="2"/>
  <c r="H27" i="2"/>
  <c r="I27" i="2"/>
  <c r="J27" i="2"/>
  <c r="K27" i="2"/>
  <c r="L27" i="2"/>
  <c r="M27" i="2"/>
  <c r="N27" i="2"/>
  <c r="O27" i="2"/>
  <c r="P27" i="2"/>
  <c r="Q27" i="2"/>
  <c r="F27" i="2"/>
  <c r="G26" i="2"/>
  <c r="H26" i="2"/>
  <c r="I26" i="2"/>
  <c r="J26" i="2"/>
  <c r="K26" i="2"/>
  <c r="L26" i="2"/>
  <c r="M26" i="2"/>
  <c r="N26" i="2"/>
  <c r="O26" i="2"/>
  <c r="P26" i="2"/>
  <c r="Q26" i="2"/>
  <c r="F26" i="2"/>
  <c r="G25" i="2"/>
  <c r="H25" i="2"/>
  <c r="I25" i="2"/>
  <c r="J25" i="2"/>
  <c r="K25" i="2"/>
  <c r="L25" i="2"/>
  <c r="M25" i="2"/>
  <c r="N25" i="2"/>
  <c r="O25" i="2"/>
  <c r="P25" i="2"/>
  <c r="Q25" i="2"/>
  <c r="F25" i="2"/>
  <c r="S25" i="2" s="1"/>
  <c r="P23" i="2"/>
  <c r="Q23" i="2"/>
  <c r="Q21" i="2"/>
  <c r="G20" i="2"/>
  <c r="G23" i="2" s="1"/>
  <c r="H20" i="2"/>
  <c r="H24" i="2" s="1"/>
  <c r="I20" i="2"/>
  <c r="I23" i="2" s="1"/>
  <c r="J20" i="2"/>
  <c r="J21" i="2" s="1"/>
  <c r="K20" i="2"/>
  <c r="K21" i="2" s="1"/>
  <c r="L20" i="2"/>
  <c r="L21" i="2" s="1"/>
  <c r="M20" i="2"/>
  <c r="M24" i="2" s="1"/>
  <c r="N20" i="2"/>
  <c r="N21" i="2" s="1"/>
  <c r="O20" i="2"/>
  <c r="O23" i="2" s="1"/>
  <c r="P20" i="2"/>
  <c r="P21" i="2" s="1"/>
  <c r="Q20" i="2"/>
  <c r="F20" i="2"/>
  <c r="F23" i="2" s="1"/>
  <c r="G19" i="2"/>
  <c r="H19" i="2"/>
  <c r="I19" i="2"/>
  <c r="J19" i="2"/>
  <c r="K19" i="2"/>
  <c r="K18" i="2" s="1"/>
  <c r="L19" i="2"/>
  <c r="M19" i="2"/>
  <c r="M18" i="2" s="1"/>
  <c r="N19" i="2"/>
  <c r="O19" i="2"/>
  <c r="O18" i="2" s="1"/>
  <c r="P19" i="2"/>
  <c r="Q19" i="2"/>
  <c r="F19" i="2"/>
  <c r="S19" i="2" s="1"/>
  <c r="G17" i="2"/>
  <c r="H17" i="2"/>
  <c r="I17" i="2"/>
  <c r="J17" i="2"/>
  <c r="K17" i="2"/>
  <c r="L17" i="2"/>
  <c r="M17" i="2"/>
  <c r="N17" i="2"/>
  <c r="O17" i="2"/>
  <c r="P17" i="2"/>
  <c r="Q17" i="2"/>
  <c r="F17" i="2"/>
  <c r="G15" i="2"/>
  <c r="H15" i="2"/>
  <c r="I15" i="2"/>
  <c r="J15" i="2"/>
  <c r="K15" i="2"/>
  <c r="L15" i="2"/>
  <c r="M15" i="2"/>
  <c r="N15" i="2"/>
  <c r="O15" i="2"/>
  <c r="P15" i="2"/>
  <c r="Q15" i="2"/>
  <c r="F15" i="2"/>
  <c r="G13" i="2"/>
  <c r="H13" i="2"/>
  <c r="I13" i="2"/>
  <c r="J13" i="2"/>
  <c r="J14" i="2" s="1"/>
  <c r="K13" i="2"/>
  <c r="K14" i="2" s="1"/>
  <c r="L13" i="2"/>
  <c r="M13" i="2"/>
  <c r="N13" i="2"/>
  <c r="N14" i="2" s="1"/>
  <c r="O13" i="2"/>
  <c r="P13" i="2"/>
  <c r="P14" i="2" s="1"/>
  <c r="Q13" i="2"/>
  <c r="F13" i="2"/>
  <c r="S13" i="2" s="1"/>
  <c r="O12" i="2"/>
  <c r="P12" i="2"/>
  <c r="G11" i="2"/>
  <c r="G12" i="2" s="1"/>
  <c r="H11" i="2"/>
  <c r="H12" i="2" s="1"/>
  <c r="I11" i="2"/>
  <c r="J11" i="2"/>
  <c r="K11" i="2"/>
  <c r="K12" i="2" s="1"/>
  <c r="L11" i="2"/>
  <c r="M11" i="2"/>
  <c r="N11" i="2"/>
  <c r="O11" i="2"/>
  <c r="P11" i="2"/>
  <c r="Q11" i="2"/>
  <c r="Q12" i="2" s="1"/>
  <c r="F11" i="2"/>
  <c r="G9" i="2"/>
  <c r="G10" i="2" s="1"/>
  <c r="H9" i="2"/>
  <c r="H10" i="2" s="1"/>
  <c r="I9" i="2"/>
  <c r="J9" i="2"/>
  <c r="J10" i="2" s="1"/>
  <c r="K9" i="2"/>
  <c r="L9" i="2"/>
  <c r="L10" i="2" s="1"/>
  <c r="M9" i="2"/>
  <c r="M10" i="2" s="1"/>
  <c r="N9" i="2"/>
  <c r="N10" i="2" s="1"/>
  <c r="O9" i="2"/>
  <c r="P9" i="2"/>
  <c r="P10" i="2" s="1"/>
  <c r="Q9" i="2"/>
  <c r="Q10" i="2" s="1"/>
  <c r="F9" i="2"/>
  <c r="G8" i="2"/>
  <c r="H8" i="2"/>
  <c r="I8" i="2"/>
  <c r="J8" i="2"/>
  <c r="K8" i="2"/>
  <c r="L8" i="2"/>
  <c r="M8" i="2"/>
  <c r="N8" i="2"/>
  <c r="O8" i="2"/>
  <c r="P8" i="2"/>
  <c r="F8" i="3" s="1"/>
  <c r="Q8" i="2"/>
  <c r="F8" i="2"/>
  <c r="S8" i="2" s="1"/>
  <c r="G7" i="2"/>
  <c r="H7" i="2"/>
  <c r="I7" i="2"/>
  <c r="J7" i="2"/>
  <c r="K7" i="2"/>
  <c r="L7" i="2"/>
  <c r="M7" i="2"/>
  <c r="N7" i="2"/>
  <c r="O7" i="2"/>
  <c r="P7" i="2"/>
  <c r="C6" i="3" s="1"/>
  <c r="Q7" i="2"/>
  <c r="F7" i="2"/>
  <c r="G6" i="2"/>
  <c r="H6" i="2"/>
  <c r="I6" i="2"/>
  <c r="I18" i="2" s="1"/>
  <c r="J6" i="2"/>
  <c r="K6" i="2"/>
  <c r="L6" i="2"/>
  <c r="M6" i="2"/>
  <c r="N6" i="2"/>
  <c r="O6" i="2"/>
  <c r="P6" i="2"/>
  <c r="Q6" i="2"/>
  <c r="F6" i="2"/>
  <c r="S6" i="2" s="1"/>
  <c r="G5" i="2"/>
  <c r="H5" i="2"/>
  <c r="I5" i="2"/>
  <c r="J5" i="2"/>
  <c r="K5" i="2"/>
  <c r="L5" i="2"/>
  <c r="M5" i="2"/>
  <c r="N5" i="2"/>
  <c r="O5" i="2"/>
  <c r="P5" i="2"/>
  <c r="Q5" i="2"/>
  <c r="F5" i="2"/>
  <c r="S5" i="2" s="1"/>
  <c r="G4" i="2"/>
  <c r="H4" i="2"/>
  <c r="I4" i="2"/>
  <c r="J4" i="2"/>
  <c r="K4" i="2"/>
  <c r="L4" i="2"/>
  <c r="M4" i="2"/>
  <c r="N4" i="2"/>
  <c r="O4" i="2"/>
  <c r="P4" i="2"/>
  <c r="Q4" i="2"/>
  <c r="F4" i="2"/>
  <c r="G3" i="2"/>
  <c r="H3" i="2"/>
  <c r="I3" i="2"/>
  <c r="J3" i="2"/>
  <c r="K3" i="2"/>
  <c r="L3" i="2"/>
  <c r="M3" i="2"/>
  <c r="N3" i="2"/>
  <c r="O3" i="2"/>
  <c r="P3" i="2"/>
  <c r="Q3" i="2"/>
  <c r="F3" i="2"/>
  <c r="S3" i="2" s="1"/>
  <c r="G2" i="2"/>
  <c r="H2" i="2"/>
  <c r="I2" i="2"/>
  <c r="J2" i="2"/>
  <c r="K2" i="2"/>
  <c r="L2" i="2"/>
  <c r="M2" i="2"/>
  <c r="N2" i="2"/>
  <c r="O2" i="2"/>
  <c r="P2" i="2"/>
  <c r="Q2" i="2"/>
  <c r="F2" i="2"/>
  <c r="M21" i="2" l="1"/>
  <c r="G14" i="2"/>
  <c r="S28" i="2"/>
  <c r="S15" i="2"/>
  <c r="N23" i="2"/>
  <c r="Q22" i="2"/>
  <c r="H23" i="2"/>
  <c r="S46" i="2"/>
  <c r="N18" i="2"/>
  <c r="S9" i="2"/>
  <c r="H14" i="2"/>
  <c r="O10" i="2"/>
  <c r="I12" i="2"/>
  <c r="I24" i="2"/>
  <c r="Q18" i="2"/>
  <c r="L18" i="2"/>
  <c r="S17" i="2"/>
  <c r="S11" i="2"/>
  <c r="M14" i="2"/>
  <c r="O21" i="2"/>
  <c r="H18" i="2"/>
  <c r="S27" i="2"/>
  <c r="S43" i="2"/>
  <c r="S2" i="2"/>
  <c r="S7" i="2"/>
  <c r="G18" i="2"/>
  <c r="O22" i="2"/>
  <c r="S26" i="2"/>
  <c r="S31" i="2"/>
  <c r="S37" i="2"/>
  <c r="S42" i="2"/>
  <c r="I14" i="2"/>
  <c r="I22" i="2"/>
  <c r="J18" i="2"/>
  <c r="G22" i="2"/>
  <c r="F6" i="3"/>
  <c r="F9" i="3" s="1"/>
  <c r="F10" i="3" s="1"/>
  <c r="P18" i="2"/>
  <c r="S4" i="2"/>
  <c r="S33" i="2"/>
  <c r="S39" i="2"/>
  <c r="S44" i="2"/>
  <c r="K10" i="2"/>
  <c r="I21" i="2"/>
  <c r="M23" i="2"/>
  <c r="N12" i="2"/>
  <c r="Q14" i="2"/>
  <c r="H21" i="2"/>
  <c r="L23" i="2"/>
  <c r="I10" i="2"/>
  <c r="M12" i="2"/>
  <c r="G21" i="2"/>
  <c r="K23" i="2"/>
  <c r="S35" i="2"/>
  <c r="L12" i="2"/>
  <c r="O14" i="2"/>
  <c r="F22" i="2"/>
  <c r="J23" i="2"/>
  <c r="S47" i="2"/>
  <c r="L14" i="2"/>
  <c r="S48" i="2"/>
  <c r="J12" i="2"/>
  <c r="F18" i="2"/>
  <c r="N22" i="2"/>
  <c r="F24" i="2"/>
  <c r="M22" i="2"/>
  <c r="L22" i="2"/>
  <c r="L24" i="2"/>
  <c r="P22" i="2"/>
  <c r="K22" i="2"/>
  <c r="K24" i="2"/>
  <c r="C5" i="3"/>
  <c r="C7" i="3" s="1"/>
  <c r="C8" i="3" s="1"/>
  <c r="F21" i="2"/>
  <c r="J22" i="2"/>
  <c r="J24" i="2"/>
  <c r="S20" i="2"/>
  <c r="H22" i="2"/>
  <c r="S49" i="2"/>
  <c r="P45" i="2"/>
  <c r="S45" i="2" s="1"/>
  <c r="S10" i="2" l="1"/>
  <c r="S23" i="2"/>
  <c r="S14" i="2"/>
  <c r="S21" i="2"/>
  <c r="S18" i="2"/>
  <c r="S12" i="2"/>
  <c r="S22" i="2"/>
</calcChain>
</file>

<file path=xl/sharedStrings.xml><?xml version="1.0" encoding="utf-8"?>
<sst xmlns="http://schemas.openxmlformats.org/spreadsheetml/2006/main" count="21309" uniqueCount="539">
  <si>
    <t>Key Statistics</t>
  </si>
  <si>
    <t>Price (HK$)</t>
  </si>
  <si>
    <t>Market Cap (HK$ Million)</t>
  </si>
  <si>
    <t>Shares Outstanding (HK$ Million)</t>
  </si>
  <si>
    <t>PE Ratio</t>
  </si>
  <si>
    <t>PB Ratio</t>
  </si>
  <si>
    <t>PS Ratio</t>
  </si>
  <si>
    <t>Growth Rates</t>
  </si>
  <si>
    <t>Annual Rates (per share)</t>
  </si>
  <si>
    <t>10 yrs</t>
  </si>
  <si>
    <t>5 yrs</t>
  </si>
  <si>
    <t>12 months</t>
  </si>
  <si>
    <t>Revenue Growth (%)</t>
  </si>
  <si>
    <t>EBITDA Growth (%)</t>
  </si>
  <si>
    <t>Free Cash Flow Growth (%)</t>
  </si>
  <si>
    <t>Book Value Growth (%)</t>
  </si>
  <si>
    <t>Fiscal Period</t>
  </si>
  <si>
    <t>Dec1992</t>
  </si>
  <si>
    <t>Dec1993</t>
  </si>
  <si>
    <t>Dec1994</t>
  </si>
  <si>
    <t>Dec1995</t>
  </si>
  <si>
    <t>Dec1996</t>
  </si>
  <si>
    <t>Dec1997</t>
  </si>
  <si>
    <t>Dec1998</t>
  </si>
  <si>
    <t>Dec1999</t>
  </si>
  <si>
    <t>Dec2000</t>
  </si>
  <si>
    <t>Dec2001</t>
  </si>
  <si>
    <t>Dec2002</t>
  </si>
  <si>
    <t>Dec2003</t>
  </si>
  <si>
    <t>Dec2004</t>
  </si>
  <si>
    <t>Dec2005</t>
  </si>
  <si>
    <t>Mar2006</t>
  </si>
  <si>
    <t>Mar2007</t>
  </si>
  <si>
    <t>Mar2008</t>
  </si>
  <si>
    <t>Mar2009</t>
  </si>
  <si>
    <t>Mar2010</t>
  </si>
  <si>
    <t>Mar2011</t>
  </si>
  <si>
    <t>Mar2012</t>
  </si>
  <si>
    <t>Mar2013</t>
  </si>
  <si>
    <t>Mar2014</t>
  </si>
  <si>
    <t>Mar2015</t>
  </si>
  <si>
    <t>Mar2016</t>
  </si>
  <si>
    <t>Mar2017</t>
  </si>
  <si>
    <t>Mar2018</t>
  </si>
  <si>
    <t>Mar2019</t>
  </si>
  <si>
    <t>Mar2020</t>
  </si>
  <si>
    <t>Mar2021</t>
  </si>
  <si>
    <t>TTM/current</t>
  </si>
  <si>
    <t xml:space="preserve">	</t>
  </si>
  <si>
    <t>Mar1983</t>
  </si>
  <si>
    <t>Jun1983</t>
  </si>
  <si>
    <t>Sep1983</t>
  </si>
  <si>
    <t>Dec1983</t>
  </si>
  <si>
    <t>Mar1984</t>
  </si>
  <si>
    <t>Jun1984</t>
  </si>
  <si>
    <t>Sep1984</t>
  </si>
  <si>
    <t>Dec1984</t>
  </si>
  <si>
    <t>Mar1985</t>
  </si>
  <si>
    <t>Jun1985</t>
  </si>
  <si>
    <t>Sep1985</t>
  </si>
  <si>
    <t>Dec1985</t>
  </si>
  <si>
    <t>Mar1986</t>
  </si>
  <si>
    <t>Jun1986</t>
  </si>
  <si>
    <t>Sep1986</t>
  </si>
  <si>
    <t>Dec1986</t>
  </si>
  <si>
    <t>Mar1987</t>
  </si>
  <si>
    <t>Jun1987</t>
  </si>
  <si>
    <t>Sep1987</t>
  </si>
  <si>
    <t>Dec1987</t>
  </si>
  <si>
    <t>Mar1988</t>
  </si>
  <si>
    <t>Jun1988</t>
  </si>
  <si>
    <t>Sep1988</t>
  </si>
  <si>
    <t>Dec1988</t>
  </si>
  <si>
    <t>Mar1989</t>
  </si>
  <si>
    <t>Jun1989</t>
  </si>
  <si>
    <t>Sep1989</t>
  </si>
  <si>
    <t>Dec1989</t>
  </si>
  <si>
    <t>Mar1990</t>
  </si>
  <si>
    <t>Jun1990</t>
  </si>
  <si>
    <t>Sep1990</t>
  </si>
  <si>
    <t>Dec1990</t>
  </si>
  <si>
    <t>Mar1991</t>
  </si>
  <si>
    <t>Jun1991</t>
  </si>
  <si>
    <t>Sep1991</t>
  </si>
  <si>
    <t>Dec1991</t>
  </si>
  <si>
    <t>Mar1992</t>
  </si>
  <si>
    <t>Jun1992</t>
  </si>
  <si>
    <t>Sep1992</t>
  </si>
  <si>
    <t>Mar1993</t>
  </si>
  <si>
    <t>Jun1993</t>
  </si>
  <si>
    <t>Sep1993</t>
  </si>
  <si>
    <t>Mar1994</t>
  </si>
  <si>
    <t>Jun1994</t>
  </si>
  <si>
    <t>Sep1994</t>
  </si>
  <si>
    <t>Mar1995</t>
  </si>
  <si>
    <t>Jun1995</t>
  </si>
  <si>
    <t>Sep1995</t>
  </si>
  <si>
    <t>Mar1996</t>
  </si>
  <si>
    <t>Jun1996</t>
  </si>
  <si>
    <t>Sep1996</t>
  </si>
  <si>
    <t>Mar1997</t>
  </si>
  <si>
    <t>Jun1997</t>
  </si>
  <si>
    <t>Sep1997</t>
  </si>
  <si>
    <t>Mar1998</t>
  </si>
  <si>
    <t>Jun1998</t>
  </si>
  <si>
    <t>Sep1998</t>
  </si>
  <si>
    <t>Mar1999</t>
  </si>
  <si>
    <t>Jun1999</t>
  </si>
  <si>
    <t>Sep1999</t>
  </si>
  <si>
    <t>Mar2000</t>
  </si>
  <si>
    <t>Jun2000</t>
  </si>
  <si>
    <t>Sep2000</t>
  </si>
  <si>
    <t>Mar2001</t>
  </si>
  <si>
    <t>Jun2001</t>
  </si>
  <si>
    <t>Sep2001</t>
  </si>
  <si>
    <t>Mar2002</t>
  </si>
  <si>
    <t>Jun2002</t>
  </si>
  <si>
    <t>Sep2002</t>
  </si>
  <si>
    <t>Mar2003</t>
  </si>
  <si>
    <t>Jun2003</t>
  </si>
  <si>
    <t>Sep2003</t>
  </si>
  <si>
    <t>Mar2004</t>
  </si>
  <si>
    <t>Jun2004</t>
  </si>
  <si>
    <t>Sep2004</t>
  </si>
  <si>
    <t>Mar2005</t>
  </si>
  <si>
    <t>Jun2005</t>
  </si>
  <si>
    <t>Sep2005</t>
  </si>
  <si>
    <t>Sep2009</t>
  </si>
  <si>
    <t>Sep2010</t>
  </si>
  <si>
    <t>Sep2011</t>
  </si>
  <si>
    <t>Sep2012</t>
  </si>
  <si>
    <t>Sep2013</t>
  </si>
  <si>
    <t>Sep2014</t>
  </si>
  <si>
    <t>Sep2015</t>
  </si>
  <si>
    <t>Sep2016</t>
  </si>
  <si>
    <t>Sep2017</t>
  </si>
  <si>
    <t>Sep2018</t>
  </si>
  <si>
    <t>Sep2019</t>
  </si>
  <si>
    <t>Sep2020</t>
  </si>
  <si>
    <t>Revenue per Share</t>
  </si>
  <si>
    <t>-</t>
  </si>
  <si>
    <t xml:space="preserve">		</t>
  </si>
  <si>
    <t>EBITDA per Share</t>
  </si>
  <si>
    <t>EBIT per Share</t>
  </si>
  <si>
    <t>Earnings per Share (Diluted)</t>
  </si>
  <si>
    <t>EPS without NRI</t>
  </si>
  <si>
    <t>Owner Earnings per Share (TTM)</t>
  </si>
  <si>
    <t>Free Cash Flow per Share</t>
  </si>
  <si>
    <t>Operating Cash Flow per Share</t>
  </si>
  <si>
    <t>FFO per Share</t>
  </si>
  <si>
    <t>Cash per Share</t>
  </si>
  <si>
    <t>Dividends per Share</t>
  </si>
  <si>
    <t>Book Value per Share</t>
  </si>
  <si>
    <t>Tangible Book per Share</t>
  </si>
  <si>
    <t>Total Debt per Share</t>
  </si>
  <si>
    <t>Month End Stock Price</t>
  </si>
  <si>
    <t>ROE %</t>
  </si>
  <si>
    <t>ROE % Adjusted to Book Value</t>
  </si>
  <si>
    <t>ROA %</t>
  </si>
  <si>
    <t>Return-on-Tangible-Equity</t>
  </si>
  <si>
    <t>Return-on-Tangible-Asset</t>
  </si>
  <si>
    <t>ROC (Joel Greenblatt) %</t>
  </si>
  <si>
    <t>ROCE %</t>
  </si>
  <si>
    <t>ROIC %</t>
  </si>
  <si>
    <t>WACC %</t>
  </si>
  <si>
    <t>Effective Interest Rate on Debt %</t>
  </si>
  <si>
    <t>Gross Margin %</t>
  </si>
  <si>
    <t>Operating Margin %</t>
  </si>
  <si>
    <t>Net Margin %</t>
  </si>
  <si>
    <t>FCF Margin %</t>
  </si>
  <si>
    <t>Debt-to-Equity</t>
  </si>
  <si>
    <t>Equity-to-Asset</t>
  </si>
  <si>
    <t>Debt-to-Asset</t>
  </si>
  <si>
    <t>Liabilities-to-Assets</t>
  </si>
  <si>
    <t>Gross-Profit-to-Asset %</t>
  </si>
  <si>
    <t>Asset Turnover</t>
  </si>
  <si>
    <t>Dividend Payout Ratio</t>
  </si>
  <si>
    <t>Dividend-Payout-to-FFO</t>
  </si>
  <si>
    <t>Days Sales Outstanding</t>
  </si>
  <si>
    <t>Days Payable</t>
  </si>
  <si>
    <t>Days Inventory</t>
  </si>
  <si>
    <t>Cash Conversion Cycle</t>
  </si>
  <si>
    <t>Inventory Turnover</t>
  </si>
  <si>
    <t>COGS-to-Revenue</t>
  </si>
  <si>
    <t>Inventory-to-Revenue</t>
  </si>
  <si>
    <t>Capex-to-Revenue</t>
  </si>
  <si>
    <t>Revenue</t>
  </si>
  <si>
    <t>Cost of Goods Sold</t>
  </si>
  <si>
    <t>Gross Profit</t>
  </si>
  <si>
    <t>Selling, General, &amp; Admin. Expense</t>
  </si>
  <si>
    <t>Research &amp; Development</t>
  </si>
  <si>
    <t>Other Operating Expense</t>
  </si>
  <si>
    <t>Total Operating Expense</t>
  </si>
  <si>
    <t>Operating Income</t>
  </si>
  <si>
    <t xml:space="preserve">  Interest Income</t>
  </si>
  <si>
    <t xml:space="preserve">  Interest Expense</t>
  </si>
  <si>
    <t>Net Interest Income</t>
  </si>
  <si>
    <t>Other Income (Expense)</t>
  </si>
  <si>
    <t>Pre-Tax Income</t>
  </si>
  <si>
    <t>Tax Provision</t>
  </si>
  <si>
    <t>Tax Rate %</t>
  </si>
  <si>
    <t>Net Income (Continuing Operations)</t>
  </si>
  <si>
    <t>Net Income (Discontinued Operations)</t>
  </si>
  <si>
    <t xml:space="preserve">  Other Income (Minority Interest)</t>
  </si>
  <si>
    <t>Net Income</t>
  </si>
  <si>
    <t>Preferred Dividends</t>
  </si>
  <si>
    <t>EPS (Basic)</t>
  </si>
  <si>
    <t>EPS (Diluted)</t>
  </si>
  <si>
    <t>Shares Outstanding (Diluted Average)</t>
  </si>
  <si>
    <t>EBIT</t>
  </si>
  <si>
    <t>Depreciation, Depletion and Amortization</t>
  </si>
  <si>
    <t>EBITDA</t>
  </si>
  <si>
    <t xml:space="preserve">  Cash And Cash Equivalents</t>
  </si>
  <si>
    <t xml:space="preserve">  Marketable Securities</t>
  </si>
  <si>
    <t>Cash, Cash Equivalents, Marketable Securities</t>
  </si>
  <si>
    <t xml:space="preserve">  Accounts Receivable</t>
  </si>
  <si>
    <t xml:space="preserve">  Notes Receivable</t>
  </si>
  <si>
    <t xml:space="preserve">  Loans Receivable</t>
  </si>
  <si>
    <t xml:space="preserve">  Other Current Receivables</t>
  </si>
  <si>
    <t>Total Receivables</t>
  </si>
  <si>
    <t xml:space="preserve">  Inventories, Raw Materials &amp; Components</t>
  </si>
  <si>
    <t xml:space="preserve">  Inventories, Work In Process</t>
  </si>
  <si>
    <t xml:space="preserve">  Inventories, Inventories Adjustments</t>
  </si>
  <si>
    <t xml:space="preserve">  Inventories, Finished Goods</t>
  </si>
  <si>
    <t xml:space="preserve">  Inventories, Other</t>
  </si>
  <si>
    <t>Total Inventories</t>
  </si>
  <si>
    <t>Other Current Assets</t>
  </si>
  <si>
    <t>Total Current Assets</t>
  </si>
  <si>
    <t>Investments And Advances</t>
  </si>
  <si>
    <t xml:space="preserve">  Land And Improvements</t>
  </si>
  <si>
    <t xml:space="preserve">  Buildings And Improvements</t>
  </si>
  <si>
    <t xml:space="preserve">  Machinery, Furniture, Equipment</t>
  </si>
  <si>
    <t xml:space="preserve">  Construction In Progress</t>
  </si>
  <si>
    <t xml:space="preserve">  Other Gross PPE</t>
  </si>
  <si>
    <t>Gross Property, Plant and Equipment</t>
  </si>
  <si>
    <t xml:space="preserve">  Accumulated Depreciation</t>
  </si>
  <si>
    <t>Property, Plant and Equipment</t>
  </si>
  <si>
    <t>Intangible Assets</t>
  </si>
  <si>
    <t xml:space="preserve">  Goodwill</t>
  </si>
  <si>
    <t>Other Long Term Assets</t>
  </si>
  <si>
    <t>Total Long-Term Assets</t>
  </si>
  <si>
    <t>Total Assets</t>
  </si>
  <si>
    <t xml:space="preserve">  Accounts Payable</t>
  </si>
  <si>
    <t xml:space="preserve">  Total Tax Payable</t>
  </si>
  <si>
    <t xml:space="preserve">  Other Current Payables</t>
  </si>
  <si>
    <t xml:space="preserve">  Current Accrued Expense</t>
  </si>
  <si>
    <t>Accounts Payable &amp; Accrued Expense</t>
  </si>
  <si>
    <t xml:space="preserve">  Short-Term Debt</t>
  </si>
  <si>
    <t xml:space="preserve">  Short-Term Capital Lease Obligation</t>
  </si>
  <si>
    <t>Short-Term Debt &amp; Capital Lease Obligation</t>
  </si>
  <si>
    <t xml:space="preserve">  Current Deferred Revenue</t>
  </si>
  <si>
    <t xml:space="preserve">  Current Deferred Taxes Liabilities</t>
  </si>
  <si>
    <t>DeferredTaxAndRevenue</t>
  </si>
  <si>
    <t>Other Current Liabilities</t>
  </si>
  <si>
    <t>Total Current Liabilities</t>
  </si>
  <si>
    <t xml:space="preserve">  Long-Term Debt</t>
  </si>
  <si>
    <t xml:space="preserve">  Long-Term Capital Lease Obligation</t>
  </si>
  <si>
    <t>Long-Term Debt &amp; Capital Lease Obligation</t>
  </si>
  <si>
    <t>PensionAndRetirementBenefit</t>
  </si>
  <si>
    <t>NonCurrent Deferred Liabilities</t>
  </si>
  <si>
    <t>Other Long-Term Liabilities</t>
  </si>
  <si>
    <t>Total Long-Term Liabilities</t>
  </si>
  <si>
    <t>Total Liabilities</t>
  </si>
  <si>
    <t>Common Stock</t>
  </si>
  <si>
    <t>Preferred Stock</t>
  </si>
  <si>
    <t>Retained Earnings</t>
  </si>
  <si>
    <t>Accumulated other comprehensive income (loss)</t>
  </si>
  <si>
    <t>Additional Paid-In Capital</t>
  </si>
  <si>
    <t>Treasury Stock</t>
  </si>
  <si>
    <t>Other Stockholders Equity</t>
  </si>
  <si>
    <t>Total Stockholders Equity</t>
  </si>
  <si>
    <t>Minority Interest</t>
  </si>
  <si>
    <t>Total Equity</t>
  </si>
  <si>
    <t>Net Income From Continuing Operations</t>
  </si>
  <si>
    <t xml:space="preserve">  Change In Receivables</t>
  </si>
  <si>
    <t xml:space="preserve">  Change In Inventory</t>
  </si>
  <si>
    <t xml:space="preserve">  Change In Prepaid Assets</t>
  </si>
  <si>
    <t xml:space="preserve">  Change In Payables And Accrued Expense</t>
  </si>
  <si>
    <t xml:space="preserve">  Change In Other Working Capital</t>
  </si>
  <si>
    <t>Change In Working Capital</t>
  </si>
  <si>
    <t>Deferred Tax</t>
  </si>
  <si>
    <t>Stock Based Compensation</t>
  </si>
  <si>
    <t>Asset Impairment Charge</t>
  </si>
  <si>
    <t>Cash from Discontinued Operating Activities</t>
  </si>
  <si>
    <t>Cash Flow from Others</t>
  </si>
  <si>
    <t>Cash Flow from Operations</t>
  </si>
  <si>
    <t>FFO</t>
  </si>
  <si>
    <t>Purchase Of Property, Plant, Equipment</t>
  </si>
  <si>
    <t>Sale Of Property, Plant, Equipment</t>
  </si>
  <si>
    <t>Purchase Of Business</t>
  </si>
  <si>
    <t>Sale Of Business</t>
  </si>
  <si>
    <t>Purchase Of Investment</t>
  </si>
  <si>
    <t>Sale Of Investment</t>
  </si>
  <si>
    <t>Net Intangibles Purchase And Sale</t>
  </si>
  <si>
    <t>Cash From Discontinued Investing Activities</t>
  </si>
  <si>
    <t>Cash From Other Investing Activities</t>
  </si>
  <si>
    <t>Cash Flow from Investing</t>
  </si>
  <si>
    <t>Issuance of Stock</t>
  </si>
  <si>
    <t>Repurchase of Stock</t>
  </si>
  <si>
    <t>Net Issuance of Preferred Stock</t>
  </si>
  <si>
    <t xml:space="preserve">  Issuance of Debt</t>
  </si>
  <si>
    <t xml:space="preserve">  Payments of Debt</t>
  </si>
  <si>
    <t>Net Issuance of Debt</t>
  </si>
  <si>
    <t>Cash Flow for Dividends</t>
  </si>
  <si>
    <t>Other Financing</t>
  </si>
  <si>
    <t>Cash Flow from Financing</t>
  </si>
  <si>
    <t>Effect of Exchange Rate Changes</t>
  </si>
  <si>
    <t>Net Change in Cash</t>
  </si>
  <si>
    <t>Capital Expenditure</t>
  </si>
  <si>
    <t>Free Cash Flow</t>
  </si>
  <si>
    <t>At Loss</t>
  </si>
  <si>
    <t>PE Ratio without NRI</t>
  </si>
  <si>
    <t>Price-to-Owner-Earnings</t>
  </si>
  <si>
    <t>Price-to-Tangible-Book</t>
  </si>
  <si>
    <t>Price-to-Free-Cash-Flow</t>
  </si>
  <si>
    <t>Price-to-Operating-Cash-Flow</t>
  </si>
  <si>
    <t>PEG Ratio</t>
  </si>
  <si>
    <t>EV-to-Revenue</t>
  </si>
  <si>
    <t>EV-to-EBITDA</t>
  </si>
  <si>
    <t>EV-to-EBIT</t>
  </si>
  <si>
    <t>Earnings Yield (Joel Greenblatt) %</t>
  </si>
  <si>
    <t>Forward Rate of Return (Yacktman) %</t>
  </si>
  <si>
    <t>Shiller PE Ratio</t>
  </si>
  <si>
    <t>Dividend Yield %</t>
  </si>
  <si>
    <t>Price-to-FFO</t>
  </si>
  <si>
    <t>Market Cap</t>
  </si>
  <si>
    <t>Enterprise Value</t>
  </si>
  <si>
    <t>Net Cash per Share</t>
  </si>
  <si>
    <t>Net Current Asset Value</t>
  </si>
  <si>
    <t>Net-Net Working Capital</t>
  </si>
  <si>
    <t>Intrinsic Value: Projected FCF</t>
  </si>
  <si>
    <t>Median PS Value</t>
  </si>
  <si>
    <t>Peter Lynch Fair Value</t>
  </si>
  <si>
    <t>Graham Number</t>
  </si>
  <si>
    <t>Earnings Power Value (EPV)</t>
  </si>
  <si>
    <t>Altman Z-Score</t>
  </si>
  <si>
    <t>Piotroski F-Score</t>
  </si>
  <si>
    <t>Beneish M-Score</t>
  </si>
  <si>
    <t>Scaled Net Operating Assets</t>
  </si>
  <si>
    <t>Sloan Ratio %</t>
  </si>
  <si>
    <t>Current Ratio</t>
  </si>
  <si>
    <t>Quick Ratio</t>
  </si>
  <si>
    <t>Cash Ratio</t>
  </si>
  <si>
    <t>Interest Coverage</t>
  </si>
  <si>
    <t>No Debt</t>
  </si>
  <si>
    <t>Highest Stock Price</t>
  </si>
  <si>
    <t>Lowest Stock Price</t>
  </si>
  <si>
    <t>Shares Buyback Ratio %</t>
  </si>
  <si>
    <t>Buyback Yield %</t>
  </si>
  <si>
    <t>YoY Rev. per Sh. Growth</t>
  </si>
  <si>
    <t>YoY EPS Growth</t>
  </si>
  <si>
    <t>YoY EBITDA Growth</t>
  </si>
  <si>
    <t>5-Year EBITDA Growth Rate</t>
  </si>
  <si>
    <t>Shares Outstanding (Basic Average)</t>
  </si>
  <si>
    <t>Shares Outstanding (EOP)</t>
  </si>
  <si>
    <t>Beta</t>
  </si>
  <si>
    <t>Filing Date</t>
  </si>
  <si>
    <t>03/31/07</t>
  </si>
  <si>
    <t>03/31/08</t>
  </si>
  <si>
    <t>03/31/09</t>
  </si>
  <si>
    <t>03/31/10</t>
  </si>
  <si>
    <t>06/10/11</t>
  </si>
  <si>
    <t>06/22/12</t>
  </si>
  <si>
    <t>06/28/13</t>
  </si>
  <si>
    <t>06/26/14</t>
  </si>
  <si>
    <t>06/19/15</t>
  </si>
  <si>
    <t>06/24/16</t>
  </si>
  <si>
    <t>06/26/17</t>
  </si>
  <si>
    <t>06/21/18</t>
  </si>
  <si>
    <t>06/20/19</t>
  </si>
  <si>
    <t>06/17/20</t>
  </si>
  <si>
    <t>06/28/21</t>
  </si>
  <si>
    <t>11/25/10</t>
  </si>
  <si>
    <t>11/24/11</t>
  </si>
  <si>
    <t>11/25/12</t>
  </si>
  <si>
    <t>11/27/13</t>
  </si>
  <si>
    <t>11/26/14</t>
  </si>
  <si>
    <t>11/26/15</t>
  </si>
  <si>
    <t>11/28/16</t>
  </si>
  <si>
    <t>11/27/17</t>
  </si>
  <si>
    <t>11/29/18</t>
  </si>
  <si>
    <t>11/26/19</t>
  </si>
  <si>
    <t>11/26/20</t>
  </si>
  <si>
    <t>Restated Filing Date</t>
  </si>
  <si>
    <t>Earnings Release Date</t>
  </si>
  <si>
    <t>06/05/13</t>
  </si>
  <si>
    <t>06/04/14</t>
  </si>
  <si>
    <t>06/10/15</t>
  </si>
  <si>
    <t>06/08/16</t>
  </si>
  <si>
    <t>06/07/17</t>
  </si>
  <si>
    <t>06/06/18</t>
  </si>
  <si>
    <t>06/03/19</t>
  </si>
  <si>
    <t>06/01/20</t>
  </si>
  <si>
    <t>06/17/21</t>
  </si>
  <si>
    <t>11/09/12</t>
  </si>
  <si>
    <t>11/12/14</t>
  </si>
  <si>
    <t>11/09/16</t>
  </si>
  <si>
    <t>11/08/17</t>
  </si>
  <si>
    <t>11/14/18</t>
  </si>
  <si>
    <t>11/13/19</t>
  </si>
  <si>
    <t>11/09/20</t>
  </si>
  <si>
    <t>Number of Shareholders</t>
  </si>
  <si>
    <t>Number of Employees</t>
  </si>
  <si>
    <t xml:space="preserve"> </t>
  </si>
  <si>
    <t>Income Statement</t>
  </si>
  <si>
    <t>Balance Sheet</t>
  </si>
  <si>
    <t>Cash Flow</t>
  </si>
  <si>
    <t>Ratios</t>
  </si>
  <si>
    <t>Indicador</t>
  </si>
  <si>
    <t>TTM</t>
  </si>
  <si>
    <t>Grafica</t>
  </si>
  <si>
    <t>Promedio</t>
  </si>
  <si>
    <t>Amortización</t>
  </si>
  <si>
    <t>amortización/utilidad bruta
Amortization/ gross profit</t>
  </si>
  <si>
    <t>* Una empresa con menor a 10% es bueno
* Más del 20% indica mucha competencia en el sector</t>
  </si>
  <si>
    <t>Beneficio neto</t>
  </si>
  <si>
    <t>Beneficio neto/ingresos 
Net income / sales</t>
  </si>
  <si>
    <t>* Algo mayor a 20% indica una ventaja 
* Algo menor a 10% puede indicar mucha competencia
* empresas que generen entre un 10 al 20% son buenas
* los bancos suelen tener porcentajes más altos</t>
  </si>
  <si>
    <t>Margen bruto (gross profit)</t>
  </si>
  <si>
    <t>Utilidad bruta/ventas
Gross profit/ sales</t>
  </si>
  <si>
    <t>* Un porcentaje mayor a 40% indica cierta ventaja
* Porcentajes menores a 40% en un sector significa demasiada competencia y algo menor al 20% en una industria indica dificultad de crear ventaja</t>
  </si>
  <si>
    <t>Margen operativo</t>
  </si>
  <si>
    <t>Operating profit/sales</t>
  </si>
  <si>
    <t>Se busca tendencia alcista</t>
  </si>
  <si>
    <t>Beneficio neto + discontinued operations/ # acciones
Net income+discontinued operations  / # shares</t>
  </si>
  <si>
    <t>Se busca tendencia a la alza en los ultimos 5 0 10 años</t>
  </si>
  <si>
    <t>Revenue per share</t>
  </si>
  <si>
    <t>Shares outstanding</t>
  </si>
  <si>
    <t>Net income</t>
  </si>
  <si>
    <t>Crecimiento del Net Income (Crecimiento de la empresa)</t>
  </si>
  <si>
    <t>Sales</t>
  </si>
  <si>
    <t>Crecimiento de Sales</t>
  </si>
  <si>
    <t>Cost of Revenue</t>
  </si>
  <si>
    <t>Crecimiento de COR</t>
  </si>
  <si>
    <t>Inventory</t>
  </si>
  <si>
    <t>Crecimiento de inventory</t>
  </si>
  <si>
    <t>Cuentas por cobrar/ventas</t>
  </si>
  <si>
    <t>Entre menor sea el rango mejor, ya que indica una ventaja competitiva</t>
  </si>
  <si>
    <t>Divident payout ratio</t>
  </si>
  <si>
    <t>Dividend earnings per share/ earnings per share
Dividendos por accion/ beneficios por accion</t>
  </si>
  <si>
    <t>*Buscar empresas que tenga un ratio de entre 20 y 60%</t>
  </si>
  <si>
    <t>Dividends per sahre</t>
  </si>
  <si>
    <t>Free Cash flow</t>
  </si>
  <si>
    <t>Cash flow from operating activities + Purchase of PP&amp;E</t>
  </si>
  <si>
    <t>Flujo de caja libre</t>
  </si>
  <si>
    <t>(Free Cash Flow) / ventas</t>
  </si>
  <si>
    <t>Free cash flow per share</t>
  </si>
  <si>
    <t>free cash flow / Shares outstandig</t>
  </si>
  <si>
    <t>Se busca una tendencia alcista</t>
  </si>
  <si>
    <t>Free cash flow to debt</t>
  </si>
  <si>
    <t>Free cash flow/total debt</t>
  </si>
  <si>
    <t>Entre más cerca este de pagarla mejor</t>
  </si>
  <si>
    <t>Free cash flow to current debt</t>
  </si>
  <si>
    <t>Free cash flow / current debt and capital lease obligation</t>
  </si>
  <si>
    <t xml:space="preserve">Deuda a largo plazo </t>
  </si>
  <si>
    <t>net income/ long term debt</t>
  </si>
  <si>
    <t>Cuando una compañía tiene 10 años o más con poca o ninguna indica una ventaja competitiva
*La empresa debera contar con beneficiones netos anuales, para ahcer frente a su deuda a largo plazo por los proximos dos o tres años</t>
  </si>
  <si>
    <t>Pasivo total/fondos propios</t>
  </si>
  <si>
    <t>pasivo total / fondos propios + acciones en tesoro
total liabilities/ shareholders equity + treasury stock</t>
  </si>
  <si>
    <t>Si algo es menor a 1 es mejor
* Para las financiera un relación menor a .80 es una ventaja competitiva</t>
  </si>
  <si>
    <t>Ratio de solvencia</t>
  </si>
  <si>
    <t>Activos corrientes/pasivos corrientes
current assets / current liabilities</t>
  </si>
  <si>
    <t>*En teoría algo mayor a 1 indica solvencia, pero existen empresas con algo menor a 1 que debido a su rentabilidad pueden cubrir el pasivo
*Algo mayor a 1.5 puede ser muy bueno
*evitar aquellas menores a .5</t>
  </si>
  <si>
    <t>Deuda/ capital</t>
  </si>
  <si>
    <t>Long term debt/equity</t>
  </si>
  <si>
    <t>Se busca un balance de 75% capital, 25% deuda
Se busca resultados menores a 25%</t>
  </si>
  <si>
    <t>Gasto financiero</t>
  </si>
  <si>
    <t>intereses a cargo - intereses ganados/beneficio de explotacion
net interest income(expenses)/operating income</t>
  </si>
  <si>
    <t>* Un gasto menor a 15% indica una ventaja
* En el area financiera un porcentaje bajo puede ser un 30%
*En cualquier industria la empresa con la proporción más baja tiene la ventaja
*si es positivo es aun mejor</t>
  </si>
  <si>
    <t>Gasto de ventas</t>
  </si>
  <si>
    <t>gasto administrativos/utilidad bruta
administrative expenses/ gross profit</t>
  </si>
  <si>
    <t>* Compañias con un 30% es fantastico
* Aunque hay buenas compañias que dedican de un 30 a un 80%
* Empresas con mas de 100% o cercanos indica algo malo</t>
  </si>
  <si>
    <t>Gastos de capital</t>
  </si>
  <si>
    <t>Gastos de capital / beneficios netos totales
CAPEX(Payments for adquisition on PP&amp;E) / net income</t>
  </si>
  <si>
    <t>Una compañía que utilice menos del 50% de sus beneficios netos para el gasto de capital, indica una ventaja competitiva
*Pero si usa menos del 25% indica una posible ventaja competitiva duradera</t>
  </si>
  <si>
    <t>Inventory to current assets</t>
  </si>
  <si>
    <t>inventories/current asset</t>
  </si>
  <si>
    <t>Buscar compañias con un rango menor al 40% y evitar empresas con algo mayor al 60%</t>
  </si>
  <si>
    <t>Net trading cycle</t>
  </si>
  <si>
    <t>(Rotación de cuentas por cobrar + Rotación de inventarios - Rotación de cuentas por pagar)}
CXC = ((trade/receivables 2020+AR 2019)/2)/sales*360
CXP= ((Accounts payable 2019 + AP 2020)/2)/COGS*360
ROT. INV = ((Inventory 2019+INV 2020)/2)/COGS*360</t>
  </si>
  <si>
    <t>*Entre menor sea, mejor</t>
  </si>
  <si>
    <t>PEGY Ratio</t>
  </si>
  <si>
    <t>P/E ratio/ EPS growth rate (cuanto crecera en los siguientes 5 años, según yahoo finance o finviz, agarrar el menor) + dividend Yield</t>
  </si>
  <si>
    <t>Es mas efectivo que el PEG, debido a que el PEG ratio no tiene en cuenta el dividendo, lo que vuelve más cara a las empresas que si pagan dividendos
*No es efectivo para empresas que pagan más de un 8% de dividendo
Buscar que sea menor a 1</t>
  </si>
  <si>
    <t>PER</t>
  </si>
  <si>
    <t>Precio*acciones en circulación / beneficio neto
Price* shares outstandings / net income</t>
  </si>
  <si>
    <t>* No invertir en acciones con PER promedio mayor a 15
* PER menor a 9 es bueno y más una acción dentro de un indice
*una acción se puede vender cuando ofrecer PER mayores a 40, sobre todo en empresas grandes
*Cuando una empresa crece al mismo risto pero su PER promedio baja puede ser interesante</t>
  </si>
  <si>
    <t>Ratio precio/ventas</t>
  </si>
  <si>
    <t>Capitalización / ventas
market cap / sales</t>
  </si>
  <si>
    <t>*Se usa en empresas con perdidas temporales
* solo usarlo para comparar entre la misma empresa
*si el ratio es bajo con respecto a su promedio historico podria ser buena opción de compra
*Entre mayor sea indica que los inversionistas estan dispuestos a pagar más por cada venta y por ende aumentara el precio de la accion</t>
  </si>
  <si>
    <t>Receivable to current assets</t>
  </si>
  <si>
    <t>accounts receivable/current asset
cuentas por cobrar / activos corrientes</t>
  </si>
  <si>
    <t>ROA</t>
  </si>
  <si>
    <t>net income 2020/((total assets 2019+total assets 2020)/2)</t>
  </si>
  <si>
    <t>* Una empresa no financiera que genere un ROA del 7% es buena</t>
  </si>
  <si>
    <t>ROE</t>
  </si>
  <si>
    <t>Beneficio neto / patrimonio neto
net income 2020/((shareholders equity 2019+shareholders equity 2020)/2)</t>
  </si>
  <si>
    <t>*Un ROE mayor a 15% es bueno si es mayor al 20% puede indicar un gran foso
* Las financieras se debe buscar algo mayor al 12%</t>
  </si>
  <si>
    <t>ROB</t>
  </si>
  <si>
    <t xml:space="preserve">Total assets 2020/ ((shareholders equity 2019+shareholders equity 2020)/2)
</t>
  </si>
  <si>
    <t>ratios mayores a 4.5 vuelve a las empresas riesgosas</t>
  </si>
  <si>
    <t>ROIC (Cálculo 1)</t>
  </si>
  <si>
    <t>Operating income * (1-tax rate %) / ((total assets - accounts payable y acrued expense - (cash, cash equivalents y marketable securities - max(0,total current liabilities - total current assets + cash,cash equivalents, marketable securities))
Se hace para los dos años lo de abajo</t>
  </si>
  <si>
    <t>Si es mayor a su WACC indica que genera más dinero que lo que paga por el
Si tiene un ROIC mayor al 15% tiene una ventaja competitiva</t>
  </si>
  <si>
    <t>WACC</t>
  </si>
  <si>
    <t>Costo que tiene la obtencion del capital, entre menor sea mejor</t>
  </si>
  <si>
    <t>Test de acidez</t>
  </si>
  <si>
    <t>(Current assets-inventory)/current liabilities</t>
  </si>
  <si>
    <t>*Un indice mayor a 1 coloca a la empresa en buena posición</t>
  </si>
  <si>
    <t>Efectivo por acción</t>
  </si>
  <si>
    <t>Cash and cash equivalents + marketable securities / shares outstanding</t>
  </si>
  <si>
    <t>Puede tomar como un soporte para la acción, además de que al restar este valor al precio de la acción se puede obtener el nuevo PER y si una acción vale menos que el triple de esto, puede ser una ganga</t>
  </si>
  <si>
    <t>Tasa PER</t>
  </si>
  <si>
    <t>Tasa de crecimiento de la empresa a largo plazo (10 años) + rentabilidad por dividendo / PER</t>
  </si>
  <si>
    <t>Un numero menor a 1 es malo, pero mayor a 2 es bueno y mayor que 3 es excelente</t>
  </si>
  <si>
    <t>Valor en libros</t>
  </si>
  <si>
    <t>Stockholders equity - preferred stock / average shares outstanding</t>
  </si>
  <si>
    <t>*Comprar acciones que no pase su valor en 1.5
* Mas util en financiera debido a lo activo de sus liquidos
*Una empresa con un Valor en libros bajo, pero un ROE alto puede ser una ganga</t>
  </si>
  <si>
    <t>Piotroski F score</t>
  </si>
  <si>
    <t>1 - ROA =&gt; Positivo +1 &gt; negativo +0
2. Cash flow from operating / total assets (CFROA) &gt;positivo+1 &gt; negativo +0
3. ROA mayor que el año pasado? &gt; si +1 &gt; no +0
4. CFROA mayor que ROA ? &gt; si + 1 &gt; no +0
5. long term debt / total assets, menor que el año pasado? &gt;si + 1 &gt; no +0
6. current ratio mayor que el año pasado? &gt; si +1 &gt; no+0
7. Menos shares este año al pasado? &gt; si +1 &gt; no +0
8. gross margin mayor al año pasado? &gt; si +1 &gt; no + 0
9. Revenue / total assets mayor al año pasado? &gt; si +1 &gt; no +0</t>
  </si>
  <si>
    <t>* Un buen score es en 7,8,9 sobre su estabilidad finaciera
- las zonas grises esta entre 4,5,6
- Mal o bajo score entre 0,1,2,3</t>
  </si>
  <si>
    <t>Altman Z score</t>
  </si>
  <si>
    <t>Z = 1.2 * x1 + 1.4 * x2 +3.3 * x3 + 0.6 * x4 + 1.0 *x5
x1 = (current assets - current liabilities)/total assets
x2 = retained earnings / total assets
x3= ebitda / total assets
x4 = marketcap / total liabilities
x5 = revenue / total assets</t>
  </si>
  <si>
    <t>*Algo menor a 1.8 es malo ya que indica que la empresa podria entrar en bancarrota en los proximos dos años
* entre 1.8 y 3 es zona griss
* mayor a 3 es zona segura e indica una alta fuerza financiera</t>
  </si>
  <si>
    <t>Beneish M score</t>
  </si>
  <si>
    <t>M= -4.84 + 0.92 * DSRI + 0.528 * GMI + 0.404 * AQI + 0.892* SGI + 0.115* DEPI - 0.172 * SGAI + 4.679 * TATA - 0.327 * LVGI
GMI = Gross margin 2019 / Gross margin 2020
AQI = (1- (Current assets 2020 + PPE)/Total assets)/(1-(Current assets 2019 + PPE)/Total assets)
SGI = Sales 2020 / sales 2019
DEPI = (Depreciation 2019/ (depreciation + ppe))/ (depreciation 2020 / (depreciation + ppe))
SGAI = (SGA 2020 / Sales) / (SGA 2019 / sales 2019)
LVGI = (( LTD + Current liabilities 2020)/total assets) / ((LTD 2019 + Current liabilities) / total assets)
TATA = (Income from contuining operations 2020 - cash flow from operations) / total assets 2020</t>
  </si>
  <si>
    <t>* Menor a 1.78 indica que podrian manipular sus estados financieros.
* Mayor a 1.78, podria indicar que no manipulan sus estados financieros</t>
  </si>
  <si>
    <t>No deuda</t>
  </si>
  <si>
    <t>823 price</t>
  </si>
  <si>
    <t>Median ps value</t>
  </si>
  <si>
    <t>Median ps 10 years</t>
  </si>
  <si>
    <t>Value</t>
  </si>
  <si>
    <t>% of safety</t>
  </si>
  <si>
    <t>Projected FCF</t>
  </si>
  <si>
    <t>Growth multiple</t>
  </si>
  <si>
    <t>Free cash flow 6 años</t>
  </si>
  <si>
    <t>Total equity</t>
  </si>
  <si>
    <t>%of safety</t>
  </si>
  <si>
    <t>Si el porcentaje da algo en torno al 50% puede indicar un foso económico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</si>
</sst>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.000"/>
    <numFmt numFmtId="165" formatCode="0.0%"/>
    <numFmt numFmtId="166" formatCode="_-* #,##0.000_-;\-* #,##0.000_-;_-* &quot;-&quot;??_-;_-@_-"/>
  </numFmts>
  <fonts count="6" x14ac:knownFonts="1">
    <font>
      <sz val="11"/>
      <color indexed="8"/>
      <name val="Calibri"/>
    </font>
    <font>
      <b/>
      <sz val="12"/>
      <color indexed="8"/>
      <name val="Calibri"/>
      <family val="2"/>
    </font>
    <font>
      <b/>
      <sz val="14"/>
      <color indexed="8"/>
      <name val="Calibri"/>
      <family val="2"/>
    </font>
    <font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 applyFill="0" applyProtection="0"/>
    <xf numFmtId="43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44" fontId="4" fillId="0" borderId="0" applyFont="0" applyFill="0" applyBorder="0" applyAlignment="0" applyProtection="0"/>
  </cellStyleXfs>
  <cellXfs count="31">
    <xf numFmtId="0" fontId="0" fillId="0" borderId="0" xfId="0" applyFill="1" applyProtection="1"/>
    <xf numFmtId="164" fontId="0" fillId="0" borderId="0" xfId="0" applyNumberFormat="1" applyFill="1" applyProtection="1"/>
    <xf numFmtId="0" fontId="1" fillId="0" borderId="0" xfId="0" applyFont="1" applyFill="1" applyProtection="1"/>
    <xf numFmtId="0" fontId="2" fillId="0" borderId="0" xfId="0" applyFont="1" applyFill="1" applyProtection="1"/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wrapText="1"/>
    </xf>
    <xf numFmtId="9" fontId="0" fillId="0" borderId="0" xfId="2" applyFont="1"/>
    <xf numFmtId="165" fontId="0" fillId="0" borderId="0" xfId="2" applyNumberFormat="1" applyFont="1"/>
    <xf numFmtId="0" fontId="1" fillId="0" borderId="0" xfId="0" applyFont="1"/>
    <xf numFmtId="43" fontId="0" fillId="0" borderId="0" xfId="1" applyFont="1"/>
    <xf numFmtId="166" fontId="0" fillId="0" borderId="0" xfId="1" applyNumberFormat="1" applyFont="1"/>
    <xf numFmtId="43" fontId="3" fillId="0" borderId="0" xfId="1" applyFont="1"/>
    <xf numFmtId="165" fontId="0" fillId="0" borderId="0" xfId="0" applyNumberFormat="1"/>
    <xf numFmtId="0" fontId="0" fillId="3" borderId="0" xfId="0" applyFill="1" applyAlignment="1">
      <alignment wrapText="1"/>
    </xf>
    <xf numFmtId="0" fontId="0" fillId="4" borderId="0" xfId="0" applyFill="1" applyAlignment="1">
      <alignment wrapText="1"/>
    </xf>
    <xf numFmtId="0" fontId="0" fillId="5" borderId="0" xfId="0" applyFill="1" applyAlignment="1">
      <alignment wrapText="1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 applyProtection="1"/>
    <xf numFmtId="164" fontId="0" fillId="6" borderId="0" xfId="0" applyNumberFormat="1" applyFill="1" applyProtection="1"/>
    <xf numFmtId="0" fontId="0" fillId="0" borderId="1" xfId="0" applyFill="1" applyBorder="1" applyProtection="1"/>
    <xf numFmtId="0" fontId="5" fillId="0" borderId="1" xfId="0" applyFont="1" applyFill="1" applyBorder="1" applyProtection="1"/>
    <xf numFmtId="44" fontId="5" fillId="0" borderId="1" xfId="3" applyFont="1" applyFill="1" applyBorder="1" applyProtection="1"/>
    <xf numFmtId="165" fontId="0" fillId="0" borderId="1" xfId="2" applyNumberFormat="1" applyFont="1" applyFill="1" applyBorder="1" applyProtection="1"/>
    <xf numFmtId="10" fontId="0" fillId="0" borderId="1" xfId="2" applyNumberFormat="1" applyFont="1" applyFill="1" applyBorder="1" applyProtection="1"/>
    <xf numFmtId="0" fontId="3" fillId="0" borderId="1" xfId="0" applyFont="1" applyFill="1" applyBorder="1" applyProtection="1"/>
    <xf numFmtId="43" fontId="0" fillId="0" borderId="1" xfId="1" applyFont="1" applyFill="1" applyBorder="1" applyProtection="1"/>
    <xf numFmtId="43" fontId="5" fillId="0" borderId="1" xfId="0" applyNumberFormat="1" applyFont="1" applyFill="1" applyBorder="1" applyProtection="1"/>
    <xf numFmtId="0" fontId="0" fillId="0" borderId="0" xfId="0" applyFill="1" applyProtection="1"/>
  </cellXfs>
  <cellStyles count="4">
    <cellStyle name="Millares" xfId="1" builtinId="3"/>
    <cellStyle name="Moneda" xfId="3" builtinId="4"/>
    <cellStyle name="Normal" xfId="0" builtinId="0"/>
    <cellStyle name="Porcentaje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D246"/>
  <sheetViews>
    <sheetView tabSelected="1" zoomScale="98" zoomScaleNormal="98" workbookViewId="0">
      <pane ySplit="20" topLeftCell="A198" activePane="bottomLeft" state="frozen"/>
      <selection activeCell="A20" sqref="A20"/>
      <selection pane="bottomLeft" activeCell="N232" sqref="N232"/>
    </sheetView>
  </sheetViews>
  <sheetFormatPr baseColWidth="10" defaultRowHeight="15" x14ac:dyDescent="0.25"/>
  <cols>
    <col min="1" max="1" width="30" customWidth="1"/>
    <col min="2" max="2" width="11.28515625" bestFit="1" customWidth="1"/>
    <col min="3" max="3" width="10.28515625" bestFit="1" customWidth="1"/>
    <col min="4" max="11" width="10.7109375" bestFit="1" customWidth="1"/>
    <col min="12" max="12" width="15.28515625" bestFit="1" customWidth="1"/>
    <col min="13" max="13" width="12" bestFit="1" customWidth="1"/>
    <col min="14" max="14" width="9.140625" customWidth="1"/>
    <col min="15" max="113" width="9.140625" hidden="1" customWidth="1"/>
    <col min="114" max="256" width="9.140625" customWidth="1"/>
  </cols>
  <sheetData>
    <row r="1" spans="1:52" hidden="1" x14ac:dyDescent="0.25">
      <c r="A1" s="30" t="s">
        <v>403</v>
      </c>
      <c r="B1" s="30"/>
      <c r="C1" s="30"/>
      <c r="D1" s="30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30"/>
      <c r="AA1" s="30"/>
      <c r="AB1" s="30"/>
      <c r="AC1" s="30"/>
      <c r="AD1" s="30"/>
      <c r="AE1" s="30"/>
      <c r="AF1" s="30"/>
      <c r="AG1" s="30"/>
      <c r="AH1" s="30"/>
      <c r="AI1" s="30"/>
      <c r="AJ1" s="30"/>
      <c r="AK1" s="30"/>
      <c r="AL1" s="30"/>
      <c r="AM1" s="30"/>
      <c r="AN1" s="30"/>
      <c r="AO1" s="30"/>
      <c r="AP1" s="30"/>
      <c r="AQ1" s="30"/>
      <c r="AR1" s="30"/>
      <c r="AS1" s="30"/>
      <c r="AT1" s="30"/>
      <c r="AU1" s="30"/>
      <c r="AV1" s="30"/>
      <c r="AW1" s="30"/>
      <c r="AX1" s="30"/>
      <c r="AY1" s="30"/>
      <c r="AZ1" s="30"/>
    </row>
    <row r="2" spans="1:52" hidden="1" x14ac:dyDescent="0.25"/>
    <row r="3" spans="1:52" hidden="1" x14ac:dyDescent="0.25"/>
    <row r="4" spans="1:52" hidden="1" x14ac:dyDescent="0.25">
      <c r="A4" s="30" t="s">
        <v>0</v>
      </c>
      <c r="B4" s="30"/>
      <c r="C4" s="30"/>
      <c r="D4" s="30"/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0"/>
      <c r="AP4" s="30"/>
      <c r="AQ4" s="30"/>
      <c r="AR4" s="30"/>
      <c r="AS4" s="30"/>
      <c r="AT4" s="30"/>
      <c r="AU4" s="30"/>
      <c r="AV4" s="30"/>
      <c r="AW4" s="30"/>
      <c r="AX4" s="30"/>
      <c r="AY4" s="30"/>
      <c r="AZ4" s="30"/>
    </row>
    <row r="5" spans="1:52" hidden="1" x14ac:dyDescent="0.25">
      <c r="A5" t="s">
        <v>1</v>
      </c>
      <c r="B5">
        <v>68.400000000000006</v>
      </c>
    </row>
    <row r="6" spans="1:52" hidden="1" x14ac:dyDescent="0.25">
      <c r="A6" t="s">
        <v>2</v>
      </c>
      <c r="B6">
        <v>142476.965</v>
      </c>
    </row>
    <row r="7" spans="1:52" hidden="1" x14ac:dyDescent="0.25">
      <c r="A7" t="s">
        <v>3</v>
      </c>
      <c r="B7">
        <v>2090.64</v>
      </c>
    </row>
    <row r="8" spans="1:52" hidden="1" x14ac:dyDescent="0.25">
      <c r="A8" t="s">
        <v>4</v>
      </c>
      <c r="B8">
        <v>119.56</v>
      </c>
    </row>
    <row r="9" spans="1:52" ht="14.25" hidden="1" customHeight="1" x14ac:dyDescent="0.25">
      <c r="A9" t="s">
        <v>5</v>
      </c>
      <c r="B9">
        <v>0.89</v>
      </c>
    </row>
    <row r="10" spans="1:52" hidden="1" x14ac:dyDescent="0.25">
      <c r="A10" t="s">
        <v>6</v>
      </c>
      <c r="B10">
        <v>13.11</v>
      </c>
    </row>
    <row r="11" spans="1:52" hidden="1" x14ac:dyDescent="0.25"/>
    <row r="12" spans="1:52" hidden="1" x14ac:dyDescent="0.25">
      <c r="A12" s="30" t="s">
        <v>7</v>
      </c>
      <c r="B12" s="30"/>
      <c r="C12" s="30"/>
      <c r="D12" s="30"/>
      <c r="E12" s="30"/>
      <c r="F12" s="30"/>
      <c r="G12" s="30"/>
      <c r="H12" s="30"/>
      <c r="I12" s="30"/>
      <c r="J12" s="30"/>
      <c r="K12" s="30"/>
      <c r="L12" s="30"/>
      <c r="M12" s="30"/>
      <c r="N12" s="30"/>
      <c r="O12" s="30"/>
      <c r="P12" s="30"/>
      <c r="Q12" s="30"/>
      <c r="R12" s="30"/>
      <c r="S12" s="30"/>
      <c r="T12" s="30"/>
      <c r="U12" s="30"/>
      <c r="V12" s="30"/>
      <c r="W12" s="30"/>
      <c r="X12" s="30"/>
      <c r="Y12" s="30"/>
      <c r="Z12" s="30"/>
      <c r="AA12" s="30"/>
      <c r="AB12" s="30"/>
      <c r="AC12" s="30"/>
      <c r="AD12" s="30"/>
      <c r="AE12" s="30"/>
      <c r="AF12" s="30"/>
      <c r="AG12" s="30"/>
      <c r="AH12" s="30"/>
      <c r="AI12" s="30"/>
      <c r="AJ12" s="30"/>
      <c r="AK12" s="30"/>
      <c r="AL12" s="30"/>
      <c r="AM12" s="30"/>
      <c r="AN12" s="30"/>
      <c r="AO12" s="30"/>
      <c r="AP12" s="30"/>
      <c r="AQ12" s="30"/>
      <c r="AR12" s="30"/>
      <c r="AS12" s="30"/>
      <c r="AT12" s="30"/>
      <c r="AU12" s="30"/>
      <c r="AV12" s="30"/>
      <c r="AW12" s="30"/>
      <c r="AX12" s="30"/>
      <c r="AY12" s="30"/>
      <c r="AZ12" s="30"/>
    </row>
    <row r="13" spans="1:52" hidden="1" x14ac:dyDescent="0.25">
      <c r="A13" t="s">
        <v>8</v>
      </c>
      <c r="B13" t="s">
        <v>9</v>
      </c>
      <c r="C13" t="s">
        <v>10</v>
      </c>
      <c r="D13" t="s">
        <v>11</v>
      </c>
    </row>
    <row r="14" spans="1:52" hidden="1" x14ac:dyDescent="0.25">
      <c r="A14" t="s">
        <v>12</v>
      </c>
      <c r="B14">
        <v>8.5</v>
      </c>
      <c r="C14">
        <v>6.4</v>
      </c>
      <c r="D14">
        <v>1.7</v>
      </c>
    </row>
    <row r="15" spans="1:52" hidden="1" x14ac:dyDescent="0.25">
      <c r="A15" t="s">
        <v>13</v>
      </c>
      <c r="B15">
        <v>0</v>
      </c>
      <c r="C15">
        <v>0</v>
      </c>
      <c r="D15">
        <v>0</v>
      </c>
    </row>
    <row r="16" spans="1:52" hidden="1" x14ac:dyDescent="0.25">
      <c r="A16" t="s">
        <v>14</v>
      </c>
      <c r="B16">
        <v>8</v>
      </c>
      <c r="C16">
        <v>4.9000000000000004</v>
      </c>
      <c r="D16">
        <v>18.899999999999999</v>
      </c>
    </row>
    <row r="17" spans="1:134" ht="22.5" hidden="1" customHeight="1" x14ac:dyDescent="0.25">
      <c r="A17" t="s">
        <v>15</v>
      </c>
      <c r="B17">
        <v>13.7</v>
      </c>
      <c r="C17">
        <v>6.5</v>
      </c>
      <c r="D17">
        <v>-1.8</v>
      </c>
      <c r="I17" s="30"/>
      <c r="J17" s="30"/>
      <c r="K17" s="30"/>
    </row>
    <row r="18" spans="1:134" hidden="1" x14ac:dyDescent="0.25">
      <c r="I18" s="30"/>
      <c r="J18" s="30"/>
      <c r="K18" s="30"/>
    </row>
    <row r="19" spans="1:134" hidden="1" x14ac:dyDescent="0.25">
      <c r="A19" s="30"/>
      <c r="B19" s="30"/>
      <c r="C19" s="30"/>
      <c r="D19" s="30"/>
      <c r="E19" s="30"/>
      <c r="F19" s="30"/>
      <c r="G19" s="30"/>
      <c r="H19" s="30"/>
      <c r="I19" s="30"/>
      <c r="J19" s="30"/>
      <c r="K19" s="30"/>
      <c r="L19" s="30"/>
      <c r="M19" s="30"/>
      <c r="N19" s="30"/>
      <c r="O19" s="30"/>
      <c r="P19" s="30"/>
      <c r="Q19" s="30"/>
      <c r="R19" s="30"/>
      <c r="S19" s="30"/>
      <c r="T19" s="30"/>
      <c r="U19" s="30"/>
      <c r="V19" s="30"/>
      <c r="W19" s="30"/>
      <c r="X19" s="30"/>
      <c r="Y19" s="30"/>
      <c r="Z19" s="30"/>
      <c r="AA19" s="30"/>
      <c r="AB19" s="30"/>
      <c r="AC19" s="30"/>
      <c r="AD19" s="30"/>
      <c r="AE19" s="30"/>
      <c r="AF19" s="30"/>
      <c r="AG19" s="30"/>
      <c r="AH19" s="30"/>
      <c r="AI19" s="30"/>
      <c r="AJ19" s="30"/>
      <c r="AK19" s="30"/>
      <c r="AL19" s="30"/>
      <c r="AM19" s="30"/>
      <c r="AN19" s="30"/>
      <c r="AO19" s="30"/>
      <c r="AP19" s="30"/>
      <c r="AQ19" s="30"/>
      <c r="AR19" s="30"/>
      <c r="AS19" s="30"/>
      <c r="AT19" s="30"/>
      <c r="AU19" s="30"/>
      <c r="AV19" s="30"/>
      <c r="AW19" s="30"/>
      <c r="AX19" s="30"/>
      <c r="AY19" s="30"/>
      <c r="AZ19" s="30"/>
    </row>
    <row r="20" spans="1:134" ht="15.75" x14ac:dyDescent="0.25">
      <c r="A20" t="s">
        <v>16</v>
      </c>
      <c r="B20" s="2" t="s">
        <v>36</v>
      </c>
      <c r="C20" s="2" t="s">
        <v>37</v>
      </c>
      <c r="D20" s="2" t="s">
        <v>38</v>
      </c>
      <c r="E20" s="2" t="s">
        <v>39</v>
      </c>
      <c r="F20" s="2" t="s">
        <v>40</v>
      </c>
      <c r="G20" s="2" t="s">
        <v>41</v>
      </c>
      <c r="H20" s="2" t="s">
        <v>42</v>
      </c>
      <c r="I20" s="2" t="s">
        <v>43</v>
      </c>
      <c r="J20" s="2" t="s">
        <v>44</v>
      </c>
      <c r="K20" s="2" t="s">
        <v>45</v>
      </c>
      <c r="L20" s="2" t="s">
        <v>46</v>
      </c>
      <c r="M20" s="2" t="s">
        <v>47</v>
      </c>
      <c r="N20" t="s">
        <v>48</v>
      </c>
      <c r="O20" t="s">
        <v>49</v>
      </c>
      <c r="P20" t="s">
        <v>50</v>
      </c>
      <c r="Q20" t="s">
        <v>51</v>
      </c>
      <c r="R20" t="s">
        <v>52</v>
      </c>
      <c r="S20" t="s">
        <v>53</v>
      </c>
      <c r="T20" t="s">
        <v>54</v>
      </c>
      <c r="U20" t="s">
        <v>55</v>
      </c>
      <c r="V20" t="s">
        <v>56</v>
      </c>
      <c r="W20" t="s">
        <v>57</v>
      </c>
      <c r="X20" t="s">
        <v>58</v>
      </c>
      <c r="Y20" t="s">
        <v>59</v>
      </c>
      <c r="Z20" t="s">
        <v>60</v>
      </c>
      <c r="AA20" t="s">
        <v>61</v>
      </c>
      <c r="AB20" t="s">
        <v>62</v>
      </c>
      <c r="AC20" t="s">
        <v>63</v>
      </c>
      <c r="AD20" t="s">
        <v>64</v>
      </c>
      <c r="AE20" t="s">
        <v>65</v>
      </c>
      <c r="AF20" t="s">
        <v>66</v>
      </c>
      <c r="AG20" t="s">
        <v>67</v>
      </c>
      <c r="AH20" t="s">
        <v>68</v>
      </c>
      <c r="AI20" t="s">
        <v>69</v>
      </c>
      <c r="AJ20" t="s">
        <v>70</v>
      </c>
      <c r="AK20" t="s">
        <v>71</v>
      </c>
      <c r="AL20" t="s">
        <v>72</v>
      </c>
      <c r="AM20" t="s">
        <v>73</v>
      </c>
      <c r="AN20" t="s">
        <v>74</v>
      </c>
      <c r="AO20" t="s">
        <v>75</v>
      </c>
      <c r="AP20" t="s">
        <v>76</v>
      </c>
      <c r="AQ20" t="s">
        <v>77</v>
      </c>
      <c r="AR20" t="s">
        <v>78</v>
      </c>
      <c r="AS20" t="s">
        <v>79</v>
      </c>
      <c r="AT20" t="s">
        <v>80</v>
      </c>
      <c r="AU20" t="s">
        <v>81</v>
      </c>
      <c r="AV20" t="s">
        <v>82</v>
      </c>
      <c r="AW20" t="s">
        <v>83</v>
      </c>
      <c r="AX20" t="s">
        <v>84</v>
      </c>
      <c r="AY20" t="s">
        <v>85</v>
      </c>
      <c r="AZ20" t="s">
        <v>86</v>
      </c>
      <c r="BA20" t="s">
        <v>87</v>
      </c>
      <c r="BB20" t="s">
        <v>17</v>
      </c>
      <c r="BC20" t="s">
        <v>88</v>
      </c>
      <c r="BD20" t="s">
        <v>89</v>
      </c>
      <c r="BE20" t="s">
        <v>90</v>
      </c>
      <c r="BF20" t="s">
        <v>18</v>
      </c>
      <c r="BG20" t="s">
        <v>91</v>
      </c>
      <c r="BH20" t="s">
        <v>92</v>
      </c>
      <c r="BI20" t="s">
        <v>93</v>
      </c>
      <c r="BJ20" t="s">
        <v>19</v>
      </c>
      <c r="BK20" t="s">
        <v>94</v>
      </c>
      <c r="BL20" t="s">
        <v>95</v>
      </c>
      <c r="BM20" t="s">
        <v>96</v>
      </c>
      <c r="BN20" t="s">
        <v>20</v>
      </c>
      <c r="BO20" t="s">
        <v>97</v>
      </c>
      <c r="BP20" t="s">
        <v>98</v>
      </c>
      <c r="BQ20" t="s">
        <v>99</v>
      </c>
      <c r="BR20" t="s">
        <v>21</v>
      </c>
      <c r="BS20" t="s">
        <v>100</v>
      </c>
      <c r="BT20" t="s">
        <v>101</v>
      </c>
      <c r="BU20" t="s">
        <v>102</v>
      </c>
      <c r="BV20" t="s">
        <v>22</v>
      </c>
      <c r="BW20" t="s">
        <v>103</v>
      </c>
      <c r="BX20" t="s">
        <v>104</v>
      </c>
      <c r="BY20" t="s">
        <v>105</v>
      </c>
      <c r="BZ20" t="s">
        <v>23</v>
      </c>
      <c r="CA20" t="s">
        <v>106</v>
      </c>
      <c r="CB20" t="s">
        <v>107</v>
      </c>
      <c r="CC20" t="s">
        <v>108</v>
      </c>
      <c r="CD20" t="s">
        <v>24</v>
      </c>
      <c r="CE20" t="s">
        <v>109</v>
      </c>
      <c r="CF20" t="s">
        <v>110</v>
      </c>
      <c r="CG20" t="s">
        <v>111</v>
      </c>
      <c r="CH20" t="s">
        <v>25</v>
      </c>
      <c r="CI20" t="s">
        <v>112</v>
      </c>
      <c r="CJ20" t="s">
        <v>113</v>
      </c>
      <c r="CK20" t="s">
        <v>114</v>
      </c>
      <c r="CL20" t="s">
        <v>26</v>
      </c>
      <c r="CM20" t="s">
        <v>115</v>
      </c>
      <c r="CN20" t="s">
        <v>116</v>
      </c>
      <c r="CO20" t="s">
        <v>117</v>
      </c>
      <c r="CP20" t="s">
        <v>27</v>
      </c>
      <c r="CQ20" t="s">
        <v>118</v>
      </c>
      <c r="CR20" t="s">
        <v>119</v>
      </c>
      <c r="CS20" t="s">
        <v>120</v>
      </c>
      <c r="CT20" t="s">
        <v>28</v>
      </c>
      <c r="CU20" t="s">
        <v>121</v>
      </c>
      <c r="CV20" t="s">
        <v>122</v>
      </c>
      <c r="CW20" t="s">
        <v>123</v>
      </c>
      <c r="CX20" t="s">
        <v>29</v>
      </c>
      <c r="CY20" t="s">
        <v>124</v>
      </c>
      <c r="CZ20" t="s">
        <v>125</v>
      </c>
      <c r="DA20" t="s">
        <v>126</v>
      </c>
      <c r="DB20" t="s">
        <v>30</v>
      </c>
      <c r="DC20" t="s">
        <v>31</v>
      </c>
      <c r="DD20" t="s">
        <v>32</v>
      </c>
      <c r="DE20" t="s">
        <v>33</v>
      </c>
      <c r="DF20" t="s">
        <v>34</v>
      </c>
      <c r="DG20" t="s">
        <v>127</v>
      </c>
      <c r="DH20" t="s">
        <v>35</v>
      </c>
      <c r="DI20" t="s">
        <v>128</v>
      </c>
      <c r="DJ20" t="s">
        <v>36</v>
      </c>
      <c r="DK20" t="s">
        <v>129</v>
      </c>
      <c r="DL20" t="s">
        <v>37</v>
      </c>
      <c r="DM20" t="s">
        <v>130</v>
      </c>
      <c r="DN20" t="s">
        <v>38</v>
      </c>
      <c r="DO20" t="s">
        <v>131</v>
      </c>
      <c r="DP20" t="s">
        <v>39</v>
      </c>
      <c r="DQ20" t="s">
        <v>132</v>
      </c>
      <c r="DR20" t="s">
        <v>40</v>
      </c>
      <c r="DS20" t="s">
        <v>133</v>
      </c>
      <c r="DT20" t="s">
        <v>41</v>
      </c>
      <c r="DU20" t="s">
        <v>134</v>
      </c>
      <c r="DV20" t="s">
        <v>42</v>
      </c>
      <c r="DW20" t="s">
        <v>135</v>
      </c>
      <c r="DX20" t="s">
        <v>43</v>
      </c>
      <c r="DY20" t="s">
        <v>136</v>
      </c>
      <c r="DZ20" t="s">
        <v>44</v>
      </c>
      <c r="EA20" t="s">
        <v>137</v>
      </c>
      <c r="EB20" t="s">
        <v>45</v>
      </c>
      <c r="EC20" t="s">
        <v>138</v>
      </c>
      <c r="ED20" t="s">
        <v>46</v>
      </c>
    </row>
    <row r="21" spans="1:134" x14ac:dyDescent="0.25">
      <c r="A21" t="s">
        <v>139</v>
      </c>
      <c r="B21" s="1">
        <v>2.4140000000000001</v>
      </c>
      <c r="C21" s="1">
        <v>2.637</v>
      </c>
      <c r="D21" s="1">
        <v>2.8519999999999999</v>
      </c>
      <c r="E21" s="1">
        <v>3.1040000000000001</v>
      </c>
      <c r="F21" s="1">
        <v>3.3530000000000002</v>
      </c>
      <c r="G21" s="1">
        <v>3.851</v>
      </c>
      <c r="H21" s="1">
        <v>4.1420000000000003</v>
      </c>
      <c r="I21" s="1">
        <v>4.5529999999999999</v>
      </c>
      <c r="J21" s="1">
        <v>4.72</v>
      </c>
      <c r="K21" s="1">
        <v>5.1130000000000004</v>
      </c>
      <c r="L21" s="1">
        <v>5.1980000000000004</v>
      </c>
      <c r="M21" s="1">
        <v>5.1980000000000004</v>
      </c>
      <c r="N21" t="s">
        <v>141</v>
      </c>
      <c r="O21" t="s">
        <v>140</v>
      </c>
      <c r="P21" t="s">
        <v>140</v>
      </c>
      <c r="Q21" t="s">
        <v>140</v>
      </c>
      <c r="R21" t="s">
        <v>140</v>
      </c>
      <c r="S21" t="s">
        <v>140</v>
      </c>
      <c r="T21" t="s">
        <v>140</v>
      </c>
      <c r="U21" t="s">
        <v>140</v>
      </c>
      <c r="V21" t="s">
        <v>140</v>
      </c>
      <c r="W21" t="s">
        <v>140</v>
      </c>
      <c r="X21" t="s">
        <v>140</v>
      </c>
      <c r="Y21" t="s">
        <v>140</v>
      </c>
      <c r="Z21" t="s">
        <v>140</v>
      </c>
      <c r="AA21" t="s">
        <v>140</v>
      </c>
      <c r="AB21" t="s">
        <v>140</v>
      </c>
      <c r="AC21" t="s">
        <v>140</v>
      </c>
      <c r="AD21" t="s">
        <v>140</v>
      </c>
      <c r="AE21" t="s">
        <v>140</v>
      </c>
      <c r="AF21" t="s">
        <v>140</v>
      </c>
      <c r="AG21" t="s">
        <v>140</v>
      </c>
      <c r="AH21" t="s">
        <v>140</v>
      </c>
      <c r="AI21" t="s">
        <v>140</v>
      </c>
      <c r="AJ21" t="s">
        <v>140</v>
      </c>
      <c r="AK21" t="s">
        <v>140</v>
      </c>
      <c r="AL21" t="s">
        <v>140</v>
      </c>
      <c r="AM21" t="s">
        <v>140</v>
      </c>
      <c r="AN21" t="s">
        <v>140</v>
      </c>
      <c r="AO21" t="s">
        <v>140</v>
      </c>
      <c r="AP21" t="s">
        <v>140</v>
      </c>
      <c r="AQ21" t="s">
        <v>140</v>
      </c>
      <c r="AR21" t="s">
        <v>140</v>
      </c>
      <c r="AS21" t="s">
        <v>140</v>
      </c>
      <c r="AT21" t="s">
        <v>140</v>
      </c>
      <c r="AU21" t="s">
        <v>140</v>
      </c>
      <c r="AV21" t="s">
        <v>140</v>
      </c>
      <c r="AW21" t="s">
        <v>140</v>
      </c>
      <c r="AX21" t="s">
        <v>140</v>
      </c>
      <c r="AY21" t="s">
        <v>140</v>
      </c>
      <c r="AZ21" t="s">
        <v>140</v>
      </c>
      <c r="BA21" t="s">
        <v>140</v>
      </c>
      <c r="BB21" t="s">
        <v>140</v>
      </c>
      <c r="BC21" t="s">
        <v>140</v>
      </c>
      <c r="BD21" t="s">
        <v>140</v>
      </c>
      <c r="BE21" t="s">
        <v>140</v>
      </c>
      <c r="BF21" t="s">
        <v>140</v>
      </c>
      <c r="BG21" t="s">
        <v>140</v>
      </c>
      <c r="BH21" t="s">
        <v>140</v>
      </c>
      <c r="BI21" t="s">
        <v>140</v>
      </c>
      <c r="BJ21" t="s">
        <v>140</v>
      </c>
      <c r="BK21" t="s">
        <v>140</v>
      </c>
      <c r="BL21" t="s">
        <v>140</v>
      </c>
      <c r="BM21" t="s">
        <v>140</v>
      </c>
      <c r="BN21" t="s">
        <v>140</v>
      </c>
      <c r="BO21" t="s">
        <v>140</v>
      </c>
      <c r="BP21" t="s">
        <v>140</v>
      </c>
      <c r="BQ21" t="s">
        <v>140</v>
      </c>
      <c r="BR21" t="s">
        <v>140</v>
      </c>
      <c r="BS21" t="s">
        <v>140</v>
      </c>
      <c r="BT21" t="s">
        <v>140</v>
      </c>
      <c r="BU21" t="s">
        <v>140</v>
      </c>
      <c r="BV21" t="s">
        <v>140</v>
      </c>
      <c r="BW21" t="s">
        <v>140</v>
      </c>
      <c r="BX21" t="s">
        <v>140</v>
      </c>
      <c r="BY21" t="s">
        <v>140</v>
      </c>
      <c r="BZ21" t="s">
        <v>140</v>
      </c>
      <c r="CA21" t="s">
        <v>140</v>
      </c>
      <c r="CB21" t="s">
        <v>140</v>
      </c>
      <c r="CC21" t="s">
        <v>140</v>
      </c>
      <c r="CD21" t="s">
        <v>140</v>
      </c>
      <c r="CE21" t="s">
        <v>140</v>
      </c>
      <c r="CF21" t="s">
        <v>140</v>
      </c>
      <c r="CG21" t="s">
        <v>140</v>
      </c>
      <c r="CH21" t="s">
        <v>140</v>
      </c>
      <c r="CI21" t="s">
        <v>140</v>
      </c>
      <c r="CJ21" t="s">
        <v>140</v>
      </c>
      <c r="CK21" t="s">
        <v>140</v>
      </c>
      <c r="CL21" t="s">
        <v>140</v>
      </c>
      <c r="CM21" t="s">
        <v>140</v>
      </c>
      <c r="CN21" t="s">
        <v>140</v>
      </c>
      <c r="CO21" t="s">
        <v>140</v>
      </c>
      <c r="CP21" t="s">
        <v>140</v>
      </c>
      <c r="CQ21" t="s">
        <v>140</v>
      </c>
      <c r="CR21" t="s">
        <v>140</v>
      </c>
      <c r="CS21" t="s">
        <v>140</v>
      </c>
      <c r="CT21" t="s">
        <v>140</v>
      </c>
      <c r="CU21" t="s">
        <v>140</v>
      </c>
      <c r="CV21" t="s">
        <v>140</v>
      </c>
      <c r="CW21" t="s">
        <v>140</v>
      </c>
      <c r="CX21" t="s">
        <v>140</v>
      </c>
      <c r="CY21" t="s">
        <v>140</v>
      </c>
      <c r="CZ21" t="s">
        <v>140</v>
      </c>
      <c r="DA21" t="s">
        <v>140</v>
      </c>
      <c r="DB21" t="s">
        <v>140</v>
      </c>
      <c r="DC21" s="1">
        <v>0</v>
      </c>
      <c r="DD21" s="1">
        <v>0</v>
      </c>
      <c r="DE21" s="1">
        <v>0</v>
      </c>
      <c r="DF21" s="1">
        <v>0</v>
      </c>
      <c r="DG21" s="1">
        <v>1.1220000000000001</v>
      </c>
      <c r="DH21" s="1">
        <v>1.1659999999999999</v>
      </c>
      <c r="DI21" s="1">
        <v>1.1859999999999999</v>
      </c>
      <c r="DJ21" s="1">
        <v>1.2270000000000001</v>
      </c>
      <c r="DK21" s="1">
        <v>1.288</v>
      </c>
      <c r="DL21" s="1">
        <v>1.3480000000000001</v>
      </c>
      <c r="DM21" s="1">
        <v>1.407</v>
      </c>
      <c r="DN21" s="1">
        <v>1.4450000000000001</v>
      </c>
      <c r="DO21" s="1">
        <v>1.52</v>
      </c>
      <c r="DP21" s="1">
        <v>1.583</v>
      </c>
      <c r="DQ21" s="1">
        <v>1.657</v>
      </c>
      <c r="DR21" s="1">
        <v>1.696</v>
      </c>
      <c r="DS21" s="1">
        <v>1.831</v>
      </c>
      <c r="DT21" s="1">
        <v>2.0219999999999998</v>
      </c>
      <c r="DU21" s="1">
        <v>2.0529999999999999</v>
      </c>
      <c r="DV21" s="1">
        <v>2.09</v>
      </c>
      <c r="DW21" s="1">
        <v>2.2360000000000002</v>
      </c>
      <c r="DX21" s="1">
        <v>2.3170000000000002</v>
      </c>
      <c r="DY21" s="1">
        <v>2.302</v>
      </c>
      <c r="DZ21" s="1">
        <v>2.419</v>
      </c>
      <c r="EA21" s="1">
        <v>2.4849999999999999</v>
      </c>
      <c r="EB21" s="1">
        <v>2.585</v>
      </c>
      <c r="EC21" s="1">
        <v>2.5390000000000001</v>
      </c>
      <c r="ED21" s="1">
        <v>2.6589999999999998</v>
      </c>
    </row>
    <row r="22" spans="1:134" x14ac:dyDescent="0.25">
      <c r="A22" t="s">
        <v>142</v>
      </c>
      <c r="B22" s="1">
        <v>7.3540000000000001</v>
      </c>
      <c r="C22" s="1">
        <v>4.657</v>
      </c>
      <c r="D22" s="1">
        <v>9.6679999999999993</v>
      </c>
      <c r="E22" s="1">
        <v>7.9809999999999999</v>
      </c>
      <c r="F22" s="1">
        <v>12.336</v>
      </c>
      <c r="G22" s="1">
        <v>7.81</v>
      </c>
      <c r="H22" s="1">
        <v>8.6649999999999991</v>
      </c>
      <c r="I22" s="1">
        <v>22.652000000000001</v>
      </c>
      <c r="J22" s="1">
        <v>10.468</v>
      </c>
      <c r="K22" s="1">
        <v>-7.4569999999999999</v>
      </c>
      <c r="L22" s="1">
        <v>1.3440000000000001</v>
      </c>
      <c r="M22" s="1">
        <v>1.288</v>
      </c>
      <c r="N22" t="s">
        <v>141</v>
      </c>
      <c r="O22" t="s">
        <v>140</v>
      </c>
      <c r="P22" t="s">
        <v>140</v>
      </c>
      <c r="Q22" t="s">
        <v>140</v>
      </c>
      <c r="R22" t="s">
        <v>140</v>
      </c>
      <c r="S22" t="s">
        <v>140</v>
      </c>
      <c r="T22" t="s">
        <v>140</v>
      </c>
      <c r="U22" t="s">
        <v>140</v>
      </c>
      <c r="V22" t="s">
        <v>140</v>
      </c>
      <c r="W22" t="s">
        <v>140</v>
      </c>
      <c r="X22" t="s">
        <v>140</v>
      </c>
      <c r="Y22" t="s">
        <v>140</v>
      </c>
      <c r="Z22" t="s">
        <v>140</v>
      </c>
      <c r="AA22" t="s">
        <v>140</v>
      </c>
      <c r="AB22" t="s">
        <v>140</v>
      </c>
      <c r="AC22" t="s">
        <v>140</v>
      </c>
      <c r="AD22" t="s">
        <v>140</v>
      </c>
      <c r="AE22" t="s">
        <v>140</v>
      </c>
      <c r="AF22" t="s">
        <v>140</v>
      </c>
      <c r="AG22" t="s">
        <v>140</v>
      </c>
      <c r="AH22" t="s">
        <v>140</v>
      </c>
      <c r="AI22" t="s">
        <v>140</v>
      </c>
      <c r="AJ22" t="s">
        <v>140</v>
      </c>
      <c r="AK22" t="s">
        <v>140</v>
      </c>
      <c r="AL22" t="s">
        <v>140</v>
      </c>
      <c r="AM22" t="s">
        <v>140</v>
      </c>
      <c r="AN22" t="s">
        <v>140</v>
      </c>
      <c r="AO22" t="s">
        <v>140</v>
      </c>
      <c r="AP22" t="s">
        <v>140</v>
      </c>
      <c r="AQ22" t="s">
        <v>140</v>
      </c>
      <c r="AR22" t="s">
        <v>140</v>
      </c>
      <c r="AS22" t="s">
        <v>140</v>
      </c>
      <c r="AT22" t="s">
        <v>140</v>
      </c>
      <c r="AU22" t="s">
        <v>140</v>
      </c>
      <c r="AV22" t="s">
        <v>140</v>
      </c>
      <c r="AW22" t="s">
        <v>140</v>
      </c>
      <c r="AX22" t="s">
        <v>140</v>
      </c>
      <c r="AY22" t="s">
        <v>140</v>
      </c>
      <c r="AZ22" t="s">
        <v>140</v>
      </c>
      <c r="BA22" t="s">
        <v>140</v>
      </c>
      <c r="BB22" t="s">
        <v>140</v>
      </c>
      <c r="BC22" t="s">
        <v>140</v>
      </c>
      <c r="BD22" t="s">
        <v>140</v>
      </c>
      <c r="BE22" t="s">
        <v>140</v>
      </c>
      <c r="BF22" t="s">
        <v>140</v>
      </c>
      <c r="BG22" t="s">
        <v>140</v>
      </c>
      <c r="BH22" t="s">
        <v>140</v>
      </c>
      <c r="BI22" t="s">
        <v>140</v>
      </c>
      <c r="BJ22" t="s">
        <v>140</v>
      </c>
      <c r="BK22" t="s">
        <v>140</v>
      </c>
      <c r="BL22" t="s">
        <v>140</v>
      </c>
      <c r="BM22" t="s">
        <v>140</v>
      </c>
      <c r="BN22" t="s">
        <v>140</v>
      </c>
      <c r="BO22" t="s">
        <v>140</v>
      </c>
      <c r="BP22" t="s">
        <v>140</v>
      </c>
      <c r="BQ22" t="s">
        <v>140</v>
      </c>
      <c r="BR22" t="s">
        <v>140</v>
      </c>
      <c r="BS22" t="s">
        <v>140</v>
      </c>
      <c r="BT22" t="s">
        <v>140</v>
      </c>
      <c r="BU22" t="s">
        <v>140</v>
      </c>
      <c r="BV22" t="s">
        <v>140</v>
      </c>
      <c r="BW22" t="s">
        <v>140</v>
      </c>
      <c r="BX22" t="s">
        <v>140</v>
      </c>
      <c r="BY22" t="s">
        <v>140</v>
      </c>
      <c r="BZ22" t="s">
        <v>140</v>
      </c>
      <c r="CA22" t="s">
        <v>140</v>
      </c>
      <c r="CB22" t="s">
        <v>140</v>
      </c>
      <c r="CC22" t="s">
        <v>140</v>
      </c>
      <c r="CD22" t="s">
        <v>140</v>
      </c>
      <c r="CE22" t="s">
        <v>140</v>
      </c>
      <c r="CF22" t="s">
        <v>140</v>
      </c>
      <c r="CG22" t="s">
        <v>140</v>
      </c>
      <c r="CH22" t="s">
        <v>140</v>
      </c>
      <c r="CI22" t="s">
        <v>140</v>
      </c>
      <c r="CJ22" t="s">
        <v>140</v>
      </c>
      <c r="CK22" t="s">
        <v>140</v>
      </c>
      <c r="CL22" t="s">
        <v>140</v>
      </c>
      <c r="CM22" t="s">
        <v>140</v>
      </c>
      <c r="CN22" t="s">
        <v>140</v>
      </c>
      <c r="CO22" t="s">
        <v>140</v>
      </c>
      <c r="CP22" t="s">
        <v>140</v>
      </c>
      <c r="CQ22" t="s">
        <v>140</v>
      </c>
      <c r="CR22" t="s">
        <v>140</v>
      </c>
      <c r="CS22" t="s">
        <v>140</v>
      </c>
      <c r="CT22" t="s">
        <v>140</v>
      </c>
      <c r="CU22" t="s">
        <v>140</v>
      </c>
      <c r="CV22" t="s">
        <v>140</v>
      </c>
      <c r="CW22" t="s">
        <v>140</v>
      </c>
      <c r="CX22" t="s">
        <v>140</v>
      </c>
      <c r="CY22" t="s">
        <v>140</v>
      </c>
      <c r="CZ22" t="s">
        <v>140</v>
      </c>
      <c r="DA22" t="s">
        <v>140</v>
      </c>
      <c r="DB22" t="s">
        <v>140</v>
      </c>
      <c r="DC22" s="1">
        <v>0</v>
      </c>
      <c r="DD22" s="1">
        <v>0</v>
      </c>
      <c r="DE22" s="1">
        <v>0</v>
      </c>
      <c r="DF22" s="1">
        <v>0</v>
      </c>
      <c r="DG22" s="1">
        <v>2.5390000000000001</v>
      </c>
      <c r="DH22" s="1">
        <v>3.4279999999999999</v>
      </c>
      <c r="DI22" s="1">
        <v>2.238</v>
      </c>
      <c r="DJ22" s="1">
        <v>5.0949999999999998</v>
      </c>
      <c r="DK22" s="1">
        <v>2.3109999999999999</v>
      </c>
      <c r="DL22" s="1">
        <v>2.335</v>
      </c>
      <c r="DM22" s="1">
        <v>3.915</v>
      </c>
      <c r="DN22" s="1">
        <v>5.734</v>
      </c>
      <c r="DO22" s="1">
        <v>3.3119999999999998</v>
      </c>
      <c r="DP22" s="1">
        <v>4.6559999999999997</v>
      </c>
      <c r="DQ22" s="1">
        <v>7.6150000000000002</v>
      </c>
      <c r="DR22" s="1">
        <v>4.7009999999999996</v>
      </c>
      <c r="DS22" s="1">
        <v>3.7989999999999999</v>
      </c>
      <c r="DT22" s="1">
        <v>4.0030000000000001</v>
      </c>
      <c r="DU22" s="1">
        <v>3.0089999999999999</v>
      </c>
      <c r="DV22" s="1">
        <v>5.6559999999999997</v>
      </c>
      <c r="DW22" s="1">
        <v>5.8380000000000001</v>
      </c>
      <c r="DX22" s="1">
        <v>16.861999999999998</v>
      </c>
      <c r="DY22" s="1">
        <v>4.8070000000000004</v>
      </c>
      <c r="DZ22" s="1">
        <v>5.657</v>
      </c>
      <c r="EA22" s="1">
        <v>3.6419999999999999</v>
      </c>
      <c r="EB22" s="1">
        <v>-11.287000000000001</v>
      </c>
      <c r="EC22" s="1">
        <v>-1.623</v>
      </c>
      <c r="ED22" s="1">
        <v>2.911</v>
      </c>
    </row>
    <row r="23" spans="1:134" x14ac:dyDescent="0.25">
      <c r="A23" t="s">
        <v>143</v>
      </c>
      <c r="B23" s="1">
        <v>7.3440000000000003</v>
      </c>
      <c r="C23" s="1">
        <v>4.6459999999999999</v>
      </c>
      <c r="D23" s="1">
        <v>9.6560000000000006</v>
      </c>
      <c r="E23" s="1">
        <v>7.9720000000000004</v>
      </c>
      <c r="F23" s="1">
        <v>12.326000000000001</v>
      </c>
      <c r="G23" s="1">
        <v>7.8</v>
      </c>
      <c r="H23" s="1">
        <v>8.6530000000000005</v>
      </c>
      <c r="I23" s="1">
        <v>22.643000000000001</v>
      </c>
      <c r="J23" s="1">
        <v>10.458</v>
      </c>
      <c r="K23" s="1">
        <v>-7.492</v>
      </c>
      <c r="L23" s="1">
        <v>1.3</v>
      </c>
      <c r="M23" s="1">
        <v>1.288</v>
      </c>
      <c r="N23" t="s">
        <v>141</v>
      </c>
      <c r="O23" t="s">
        <v>140</v>
      </c>
      <c r="P23" t="s">
        <v>140</v>
      </c>
      <c r="Q23" t="s">
        <v>140</v>
      </c>
      <c r="R23" t="s">
        <v>140</v>
      </c>
      <c r="S23" t="s">
        <v>140</v>
      </c>
      <c r="T23" t="s">
        <v>140</v>
      </c>
      <c r="U23" t="s">
        <v>140</v>
      </c>
      <c r="V23" t="s">
        <v>140</v>
      </c>
      <c r="W23" t="s">
        <v>140</v>
      </c>
      <c r="X23" t="s">
        <v>140</v>
      </c>
      <c r="Y23" t="s">
        <v>140</v>
      </c>
      <c r="Z23" t="s">
        <v>140</v>
      </c>
      <c r="AA23" t="s">
        <v>140</v>
      </c>
      <c r="AB23" t="s">
        <v>140</v>
      </c>
      <c r="AC23" t="s">
        <v>140</v>
      </c>
      <c r="AD23" t="s">
        <v>140</v>
      </c>
      <c r="AE23" t="s">
        <v>140</v>
      </c>
      <c r="AF23" t="s">
        <v>140</v>
      </c>
      <c r="AG23" t="s">
        <v>140</v>
      </c>
      <c r="AH23" t="s">
        <v>140</v>
      </c>
      <c r="AI23" t="s">
        <v>140</v>
      </c>
      <c r="AJ23" t="s">
        <v>140</v>
      </c>
      <c r="AK23" t="s">
        <v>140</v>
      </c>
      <c r="AL23" t="s">
        <v>140</v>
      </c>
      <c r="AM23" t="s">
        <v>140</v>
      </c>
      <c r="AN23" t="s">
        <v>140</v>
      </c>
      <c r="AO23" t="s">
        <v>140</v>
      </c>
      <c r="AP23" t="s">
        <v>140</v>
      </c>
      <c r="AQ23" t="s">
        <v>140</v>
      </c>
      <c r="AR23" t="s">
        <v>140</v>
      </c>
      <c r="AS23" t="s">
        <v>140</v>
      </c>
      <c r="AT23" t="s">
        <v>140</v>
      </c>
      <c r="AU23" t="s">
        <v>140</v>
      </c>
      <c r="AV23" t="s">
        <v>140</v>
      </c>
      <c r="AW23" t="s">
        <v>140</v>
      </c>
      <c r="AX23" t="s">
        <v>140</v>
      </c>
      <c r="AY23" t="s">
        <v>140</v>
      </c>
      <c r="AZ23" t="s">
        <v>140</v>
      </c>
      <c r="BA23" t="s">
        <v>140</v>
      </c>
      <c r="BB23" t="s">
        <v>140</v>
      </c>
      <c r="BC23" t="s">
        <v>140</v>
      </c>
      <c r="BD23" t="s">
        <v>140</v>
      </c>
      <c r="BE23" t="s">
        <v>140</v>
      </c>
      <c r="BF23" t="s">
        <v>140</v>
      </c>
      <c r="BG23" t="s">
        <v>140</v>
      </c>
      <c r="BH23" t="s">
        <v>140</v>
      </c>
      <c r="BI23" t="s">
        <v>140</v>
      </c>
      <c r="BJ23" t="s">
        <v>140</v>
      </c>
      <c r="BK23" t="s">
        <v>140</v>
      </c>
      <c r="BL23" t="s">
        <v>140</v>
      </c>
      <c r="BM23" t="s">
        <v>140</v>
      </c>
      <c r="BN23" t="s">
        <v>140</v>
      </c>
      <c r="BO23" t="s">
        <v>140</v>
      </c>
      <c r="BP23" t="s">
        <v>140</v>
      </c>
      <c r="BQ23" t="s">
        <v>140</v>
      </c>
      <c r="BR23" t="s">
        <v>140</v>
      </c>
      <c r="BS23" t="s">
        <v>140</v>
      </c>
      <c r="BT23" t="s">
        <v>140</v>
      </c>
      <c r="BU23" t="s">
        <v>140</v>
      </c>
      <c r="BV23" t="s">
        <v>140</v>
      </c>
      <c r="BW23" t="s">
        <v>140</v>
      </c>
      <c r="BX23" t="s">
        <v>140</v>
      </c>
      <c r="BY23" t="s">
        <v>140</v>
      </c>
      <c r="BZ23" t="s">
        <v>140</v>
      </c>
      <c r="CA23" t="s">
        <v>140</v>
      </c>
      <c r="CB23" t="s">
        <v>140</v>
      </c>
      <c r="CC23" t="s">
        <v>140</v>
      </c>
      <c r="CD23" t="s">
        <v>140</v>
      </c>
      <c r="CE23" t="s">
        <v>140</v>
      </c>
      <c r="CF23" t="s">
        <v>140</v>
      </c>
      <c r="CG23" t="s">
        <v>140</v>
      </c>
      <c r="CH23" t="s">
        <v>140</v>
      </c>
      <c r="CI23" t="s">
        <v>140</v>
      </c>
      <c r="CJ23" t="s">
        <v>140</v>
      </c>
      <c r="CK23" t="s">
        <v>140</v>
      </c>
      <c r="CL23" t="s">
        <v>140</v>
      </c>
      <c r="CM23" t="s">
        <v>140</v>
      </c>
      <c r="CN23" t="s">
        <v>140</v>
      </c>
      <c r="CO23" t="s">
        <v>140</v>
      </c>
      <c r="CP23" t="s">
        <v>140</v>
      </c>
      <c r="CQ23" t="s">
        <v>140</v>
      </c>
      <c r="CR23" t="s">
        <v>140</v>
      </c>
      <c r="CS23" t="s">
        <v>140</v>
      </c>
      <c r="CT23" t="s">
        <v>140</v>
      </c>
      <c r="CU23" t="s">
        <v>140</v>
      </c>
      <c r="CV23" t="s">
        <v>140</v>
      </c>
      <c r="CW23" t="s">
        <v>140</v>
      </c>
      <c r="CX23" t="s">
        <v>140</v>
      </c>
      <c r="CY23" t="s">
        <v>140</v>
      </c>
      <c r="CZ23" t="s">
        <v>140</v>
      </c>
      <c r="DA23" t="s">
        <v>140</v>
      </c>
      <c r="DB23" t="s">
        <v>140</v>
      </c>
      <c r="DC23" s="1">
        <v>0</v>
      </c>
      <c r="DD23" s="1">
        <v>0</v>
      </c>
      <c r="DE23" s="1">
        <v>0</v>
      </c>
      <c r="DF23" s="1">
        <v>0</v>
      </c>
      <c r="DG23" s="1">
        <v>2.5390000000000001</v>
      </c>
      <c r="DH23" s="1">
        <v>3.4279999999999999</v>
      </c>
      <c r="DI23" s="1">
        <v>2.238</v>
      </c>
      <c r="DJ23" s="1">
        <v>5.0949999999999998</v>
      </c>
      <c r="DK23" s="1">
        <v>2.3109999999999999</v>
      </c>
      <c r="DL23" s="1">
        <v>2.335</v>
      </c>
      <c r="DM23" s="1">
        <v>3.915</v>
      </c>
      <c r="DN23" s="1">
        <v>5.734</v>
      </c>
      <c r="DO23" s="1">
        <v>3.3119999999999998</v>
      </c>
      <c r="DP23" s="1">
        <v>4.6559999999999997</v>
      </c>
      <c r="DQ23" s="1">
        <v>7.6150000000000002</v>
      </c>
      <c r="DR23" s="1">
        <v>4.7009999999999996</v>
      </c>
      <c r="DS23" s="1">
        <v>3.7989999999999999</v>
      </c>
      <c r="DT23" s="1">
        <v>4.0030000000000001</v>
      </c>
      <c r="DU23" s="1">
        <v>3.0089999999999999</v>
      </c>
      <c r="DV23" s="1">
        <v>5.6559999999999997</v>
      </c>
      <c r="DW23" s="1">
        <v>5.8380000000000001</v>
      </c>
      <c r="DX23" s="1">
        <v>16.861999999999998</v>
      </c>
      <c r="DY23" s="1">
        <v>4.8070000000000004</v>
      </c>
      <c r="DZ23" s="1">
        <v>5.657</v>
      </c>
      <c r="EA23" s="1">
        <v>3.6419999999999999</v>
      </c>
      <c r="EB23" s="1">
        <v>-11.287000000000001</v>
      </c>
      <c r="EC23" s="1">
        <v>-1.623</v>
      </c>
      <c r="ED23" s="1">
        <v>2.911</v>
      </c>
    </row>
    <row r="24" spans="1:134" x14ac:dyDescent="0.25">
      <c r="A24" t="s">
        <v>144</v>
      </c>
      <c r="B24" s="1">
        <v>6.89</v>
      </c>
      <c r="C24" s="1">
        <v>4.2699999999999996</v>
      </c>
      <c r="D24" s="1">
        <v>9.23</v>
      </c>
      <c r="E24" s="1">
        <v>7.51</v>
      </c>
      <c r="F24" s="1">
        <v>11.82</v>
      </c>
      <c r="G24" s="1">
        <v>7.19</v>
      </c>
      <c r="H24" s="1">
        <v>7.93</v>
      </c>
      <c r="I24" s="1">
        <v>21.69</v>
      </c>
      <c r="J24" s="1">
        <v>9.56</v>
      </c>
      <c r="K24" s="1">
        <v>-8.17</v>
      </c>
      <c r="L24" s="1">
        <v>0.56999999999999995</v>
      </c>
      <c r="M24" s="1">
        <v>0.57000000000000006</v>
      </c>
      <c r="N24" t="s">
        <v>141</v>
      </c>
      <c r="O24" t="s">
        <v>140</v>
      </c>
      <c r="P24" t="s">
        <v>140</v>
      </c>
      <c r="Q24" t="s">
        <v>140</v>
      </c>
      <c r="R24" t="s">
        <v>140</v>
      </c>
      <c r="S24" t="s">
        <v>140</v>
      </c>
      <c r="T24" t="s">
        <v>140</v>
      </c>
      <c r="U24" t="s">
        <v>140</v>
      </c>
      <c r="V24" t="s">
        <v>140</v>
      </c>
      <c r="W24" t="s">
        <v>140</v>
      </c>
      <c r="X24" t="s">
        <v>140</v>
      </c>
      <c r="Y24" t="s">
        <v>140</v>
      </c>
      <c r="Z24" t="s">
        <v>140</v>
      </c>
      <c r="AA24" t="s">
        <v>140</v>
      </c>
      <c r="AB24" t="s">
        <v>140</v>
      </c>
      <c r="AC24" t="s">
        <v>140</v>
      </c>
      <c r="AD24" t="s">
        <v>140</v>
      </c>
      <c r="AE24" t="s">
        <v>140</v>
      </c>
      <c r="AF24" t="s">
        <v>140</v>
      </c>
      <c r="AG24" t="s">
        <v>140</v>
      </c>
      <c r="AH24" t="s">
        <v>140</v>
      </c>
      <c r="AI24" t="s">
        <v>140</v>
      </c>
      <c r="AJ24" t="s">
        <v>140</v>
      </c>
      <c r="AK24" t="s">
        <v>140</v>
      </c>
      <c r="AL24" t="s">
        <v>140</v>
      </c>
      <c r="AM24" t="s">
        <v>140</v>
      </c>
      <c r="AN24" t="s">
        <v>140</v>
      </c>
      <c r="AO24" t="s">
        <v>140</v>
      </c>
      <c r="AP24" t="s">
        <v>140</v>
      </c>
      <c r="AQ24" t="s">
        <v>140</v>
      </c>
      <c r="AR24" t="s">
        <v>140</v>
      </c>
      <c r="AS24" t="s">
        <v>140</v>
      </c>
      <c r="AT24" t="s">
        <v>140</v>
      </c>
      <c r="AU24" t="s">
        <v>140</v>
      </c>
      <c r="AV24" t="s">
        <v>140</v>
      </c>
      <c r="AW24" t="s">
        <v>140</v>
      </c>
      <c r="AX24" t="s">
        <v>140</v>
      </c>
      <c r="AY24" t="s">
        <v>140</v>
      </c>
      <c r="AZ24" t="s">
        <v>140</v>
      </c>
      <c r="BA24" t="s">
        <v>140</v>
      </c>
      <c r="BB24" t="s">
        <v>140</v>
      </c>
      <c r="BC24" t="s">
        <v>140</v>
      </c>
      <c r="BD24" t="s">
        <v>140</v>
      </c>
      <c r="BE24" t="s">
        <v>140</v>
      </c>
      <c r="BF24" t="s">
        <v>140</v>
      </c>
      <c r="BG24" t="s">
        <v>140</v>
      </c>
      <c r="BH24" t="s">
        <v>140</v>
      </c>
      <c r="BI24" t="s">
        <v>140</v>
      </c>
      <c r="BJ24" t="s">
        <v>140</v>
      </c>
      <c r="BK24" t="s">
        <v>140</v>
      </c>
      <c r="BL24" t="s">
        <v>140</v>
      </c>
      <c r="BM24" t="s">
        <v>140</v>
      </c>
      <c r="BN24" t="s">
        <v>140</v>
      </c>
      <c r="BO24" t="s">
        <v>140</v>
      </c>
      <c r="BP24" t="s">
        <v>140</v>
      </c>
      <c r="BQ24" t="s">
        <v>140</v>
      </c>
      <c r="BR24" t="s">
        <v>140</v>
      </c>
      <c r="BS24" t="s">
        <v>140</v>
      </c>
      <c r="BT24" t="s">
        <v>140</v>
      </c>
      <c r="BU24" t="s">
        <v>140</v>
      </c>
      <c r="BV24" t="s">
        <v>140</v>
      </c>
      <c r="BW24" t="s">
        <v>140</v>
      </c>
      <c r="BX24" t="s">
        <v>140</v>
      </c>
      <c r="BY24" t="s">
        <v>140</v>
      </c>
      <c r="BZ24" t="s">
        <v>140</v>
      </c>
      <c r="CA24" t="s">
        <v>140</v>
      </c>
      <c r="CB24" t="s">
        <v>140</v>
      </c>
      <c r="CC24" t="s">
        <v>140</v>
      </c>
      <c r="CD24" t="s">
        <v>140</v>
      </c>
      <c r="CE24" t="s">
        <v>140</v>
      </c>
      <c r="CF24" t="s">
        <v>140</v>
      </c>
      <c r="CG24" t="s">
        <v>140</v>
      </c>
      <c r="CH24" t="s">
        <v>140</v>
      </c>
      <c r="CI24" t="s">
        <v>140</v>
      </c>
      <c r="CJ24" t="s">
        <v>140</v>
      </c>
      <c r="CK24" t="s">
        <v>140</v>
      </c>
      <c r="CL24" t="s">
        <v>140</v>
      </c>
      <c r="CM24" t="s">
        <v>140</v>
      </c>
      <c r="CN24" t="s">
        <v>140</v>
      </c>
      <c r="CO24" t="s">
        <v>140</v>
      </c>
      <c r="CP24" t="s">
        <v>140</v>
      </c>
      <c r="CQ24" t="s">
        <v>140</v>
      </c>
      <c r="CR24" t="s">
        <v>140</v>
      </c>
      <c r="CS24" t="s">
        <v>140</v>
      </c>
      <c r="CT24" t="s">
        <v>140</v>
      </c>
      <c r="CU24" t="s">
        <v>140</v>
      </c>
      <c r="CV24" t="s">
        <v>140</v>
      </c>
      <c r="CW24" t="s">
        <v>140</v>
      </c>
      <c r="CX24" t="s">
        <v>140</v>
      </c>
      <c r="CY24" t="s">
        <v>140</v>
      </c>
      <c r="CZ24" t="s">
        <v>140</v>
      </c>
      <c r="DA24" t="s">
        <v>140</v>
      </c>
      <c r="DB24" t="s">
        <v>140</v>
      </c>
      <c r="DC24" s="1">
        <v>0</v>
      </c>
      <c r="DD24" s="1">
        <v>0</v>
      </c>
      <c r="DE24" s="1">
        <v>0</v>
      </c>
      <c r="DF24" s="1">
        <v>0</v>
      </c>
      <c r="DG24" s="1">
        <v>2.016</v>
      </c>
      <c r="DH24" s="1">
        <v>3.4740000000000002</v>
      </c>
      <c r="DI24" s="1">
        <v>2.0099999999999998</v>
      </c>
      <c r="DJ24" s="1">
        <v>4.88</v>
      </c>
      <c r="DK24" s="1">
        <v>2.09</v>
      </c>
      <c r="DL24" s="1">
        <v>2.17</v>
      </c>
      <c r="DM24" s="1">
        <v>3.7</v>
      </c>
      <c r="DN24" s="1">
        <v>5.53</v>
      </c>
      <c r="DO24" s="1">
        <v>3.08</v>
      </c>
      <c r="DP24" s="1">
        <v>4.43</v>
      </c>
      <c r="DQ24" s="1">
        <v>7.37</v>
      </c>
      <c r="DR24" s="1">
        <v>4.45</v>
      </c>
      <c r="DS24" s="1">
        <v>3.5</v>
      </c>
      <c r="DT24" s="1">
        <v>3.68</v>
      </c>
      <c r="DU24" s="1">
        <v>2.65</v>
      </c>
      <c r="DV24" s="1">
        <v>5.28</v>
      </c>
      <c r="DW24" s="1">
        <v>5.48</v>
      </c>
      <c r="DX24" s="1">
        <v>16.21</v>
      </c>
      <c r="DY24" s="1">
        <v>4.3099999999999996</v>
      </c>
      <c r="DZ24" s="1">
        <v>5.25</v>
      </c>
      <c r="EA24" s="1">
        <v>3.14</v>
      </c>
      <c r="EB24" s="1">
        <v>-11.37</v>
      </c>
      <c r="EC24" s="1">
        <v>-1.99</v>
      </c>
      <c r="ED24" s="1">
        <v>2.56</v>
      </c>
    </row>
    <row r="25" spans="1:134" x14ac:dyDescent="0.25">
      <c r="A25" t="s">
        <v>145</v>
      </c>
      <c r="B25" s="1">
        <v>6.89</v>
      </c>
      <c r="C25" s="1">
        <v>4.2699999999999996</v>
      </c>
      <c r="D25" s="1">
        <v>9.23</v>
      </c>
      <c r="E25" s="1">
        <v>7.51</v>
      </c>
      <c r="F25" s="1">
        <v>11.82</v>
      </c>
      <c r="G25" s="1">
        <v>7.19</v>
      </c>
      <c r="H25" s="1">
        <v>7.93</v>
      </c>
      <c r="I25" s="1">
        <v>21.69</v>
      </c>
      <c r="J25" s="1">
        <v>9.56</v>
      </c>
      <c r="K25" s="1">
        <v>-8.17</v>
      </c>
      <c r="L25" s="1">
        <v>0.56999999999999995</v>
      </c>
      <c r="M25" s="1">
        <v>0.57000000000000006</v>
      </c>
      <c r="N25" t="s">
        <v>141</v>
      </c>
      <c r="O25" t="s">
        <v>140</v>
      </c>
      <c r="P25" t="s">
        <v>140</v>
      </c>
      <c r="Q25" t="s">
        <v>140</v>
      </c>
      <c r="R25" t="s">
        <v>140</v>
      </c>
      <c r="S25" t="s">
        <v>140</v>
      </c>
      <c r="T25" t="s">
        <v>140</v>
      </c>
      <c r="U25" t="s">
        <v>140</v>
      </c>
      <c r="V25" t="s">
        <v>140</v>
      </c>
      <c r="W25" t="s">
        <v>140</v>
      </c>
      <c r="X25" t="s">
        <v>140</v>
      </c>
      <c r="Y25" t="s">
        <v>140</v>
      </c>
      <c r="Z25" t="s">
        <v>140</v>
      </c>
      <c r="AA25" t="s">
        <v>140</v>
      </c>
      <c r="AB25" t="s">
        <v>140</v>
      </c>
      <c r="AC25" t="s">
        <v>140</v>
      </c>
      <c r="AD25" t="s">
        <v>140</v>
      </c>
      <c r="AE25" t="s">
        <v>140</v>
      </c>
      <c r="AF25" t="s">
        <v>140</v>
      </c>
      <c r="AG25" t="s">
        <v>140</v>
      </c>
      <c r="AH25" t="s">
        <v>140</v>
      </c>
      <c r="AI25" t="s">
        <v>140</v>
      </c>
      <c r="AJ25" t="s">
        <v>140</v>
      </c>
      <c r="AK25" t="s">
        <v>140</v>
      </c>
      <c r="AL25" t="s">
        <v>140</v>
      </c>
      <c r="AM25" t="s">
        <v>140</v>
      </c>
      <c r="AN25" t="s">
        <v>140</v>
      </c>
      <c r="AO25" t="s">
        <v>140</v>
      </c>
      <c r="AP25" t="s">
        <v>140</v>
      </c>
      <c r="AQ25" t="s">
        <v>140</v>
      </c>
      <c r="AR25" t="s">
        <v>140</v>
      </c>
      <c r="AS25" t="s">
        <v>140</v>
      </c>
      <c r="AT25" t="s">
        <v>140</v>
      </c>
      <c r="AU25" t="s">
        <v>140</v>
      </c>
      <c r="AV25" t="s">
        <v>140</v>
      </c>
      <c r="AW25" t="s">
        <v>140</v>
      </c>
      <c r="AX25" t="s">
        <v>140</v>
      </c>
      <c r="AY25" t="s">
        <v>140</v>
      </c>
      <c r="AZ25" t="s">
        <v>140</v>
      </c>
      <c r="BA25" t="s">
        <v>140</v>
      </c>
      <c r="BB25" t="s">
        <v>140</v>
      </c>
      <c r="BC25" t="s">
        <v>140</v>
      </c>
      <c r="BD25" t="s">
        <v>140</v>
      </c>
      <c r="BE25" t="s">
        <v>140</v>
      </c>
      <c r="BF25" t="s">
        <v>140</v>
      </c>
      <c r="BG25" t="s">
        <v>140</v>
      </c>
      <c r="BH25" t="s">
        <v>140</v>
      </c>
      <c r="BI25" t="s">
        <v>140</v>
      </c>
      <c r="BJ25" t="s">
        <v>140</v>
      </c>
      <c r="BK25" t="s">
        <v>140</v>
      </c>
      <c r="BL25" t="s">
        <v>140</v>
      </c>
      <c r="BM25" t="s">
        <v>140</v>
      </c>
      <c r="BN25" t="s">
        <v>140</v>
      </c>
      <c r="BO25" t="s">
        <v>140</v>
      </c>
      <c r="BP25" t="s">
        <v>140</v>
      </c>
      <c r="BQ25" t="s">
        <v>140</v>
      </c>
      <c r="BR25" t="s">
        <v>140</v>
      </c>
      <c r="BS25" t="s">
        <v>140</v>
      </c>
      <c r="BT25" t="s">
        <v>140</v>
      </c>
      <c r="BU25" t="s">
        <v>140</v>
      </c>
      <c r="BV25" t="s">
        <v>140</v>
      </c>
      <c r="BW25" t="s">
        <v>140</v>
      </c>
      <c r="BX25" t="s">
        <v>140</v>
      </c>
      <c r="BY25" t="s">
        <v>140</v>
      </c>
      <c r="BZ25" t="s">
        <v>140</v>
      </c>
      <c r="CA25" t="s">
        <v>140</v>
      </c>
      <c r="CB25" t="s">
        <v>140</v>
      </c>
      <c r="CC25" t="s">
        <v>140</v>
      </c>
      <c r="CD25" t="s">
        <v>140</v>
      </c>
      <c r="CE25" t="s">
        <v>140</v>
      </c>
      <c r="CF25" t="s">
        <v>140</v>
      </c>
      <c r="CG25" t="s">
        <v>140</v>
      </c>
      <c r="CH25" t="s">
        <v>140</v>
      </c>
      <c r="CI25" t="s">
        <v>140</v>
      </c>
      <c r="CJ25" t="s">
        <v>140</v>
      </c>
      <c r="CK25" t="s">
        <v>140</v>
      </c>
      <c r="CL25" t="s">
        <v>140</v>
      </c>
      <c r="CM25" t="s">
        <v>140</v>
      </c>
      <c r="CN25" t="s">
        <v>140</v>
      </c>
      <c r="CO25" t="s">
        <v>140</v>
      </c>
      <c r="CP25" t="s">
        <v>140</v>
      </c>
      <c r="CQ25" t="s">
        <v>140</v>
      </c>
      <c r="CR25" t="s">
        <v>140</v>
      </c>
      <c r="CS25" t="s">
        <v>140</v>
      </c>
      <c r="CT25" t="s">
        <v>140</v>
      </c>
      <c r="CU25" t="s">
        <v>140</v>
      </c>
      <c r="CV25" t="s">
        <v>140</v>
      </c>
      <c r="CW25" t="s">
        <v>140</v>
      </c>
      <c r="CX25" t="s">
        <v>140</v>
      </c>
      <c r="CY25" t="s">
        <v>140</v>
      </c>
      <c r="CZ25" t="s">
        <v>140</v>
      </c>
      <c r="DA25" t="s">
        <v>140</v>
      </c>
      <c r="DB25" t="s">
        <v>140</v>
      </c>
      <c r="DC25" s="1">
        <v>0</v>
      </c>
      <c r="DD25" s="1">
        <v>0</v>
      </c>
      <c r="DE25" s="1">
        <v>0</v>
      </c>
      <c r="DF25" s="1">
        <v>0</v>
      </c>
      <c r="DG25" s="1">
        <v>2.016</v>
      </c>
      <c r="DH25" s="1">
        <v>3.4740000000000002</v>
      </c>
      <c r="DI25" s="1">
        <v>2.0099999999999998</v>
      </c>
      <c r="DJ25" s="1">
        <v>4.88</v>
      </c>
      <c r="DK25" s="1">
        <v>2.09</v>
      </c>
      <c r="DL25" s="1">
        <v>2.17</v>
      </c>
      <c r="DM25" s="1">
        <v>3.7</v>
      </c>
      <c r="DN25" s="1">
        <v>5.53</v>
      </c>
      <c r="DO25" s="1">
        <v>3.08</v>
      </c>
      <c r="DP25" s="1">
        <v>4.43</v>
      </c>
      <c r="DQ25" s="1">
        <v>7.37</v>
      </c>
      <c r="DR25" s="1">
        <v>4.45</v>
      </c>
      <c r="DS25" s="1">
        <v>3.5</v>
      </c>
      <c r="DT25" s="1">
        <v>3.68</v>
      </c>
      <c r="DU25" s="1">
        <v>2.65</v>
      </c>
      <c r="DV25" s="1">
        <v>5.28</v>
      </c>
      <c r="DW25" s="1">
        <v>5.48</v>
      </c>
      <c r="DX25" s="1">
        <v>16.21</v>
      </c>
      <c r="DY25" s="1">
        <v>4.3099999999999996</v>
      </c>
      <c r="DZ25" s="1">
        <v>5.25</v>
      </c>
      <c r="EA25" s="1">
        <v>3.14</v>
      </c>
      <c r="EB25" s="1">
        <v>-11.37</v>
      </c>
      <c r="EC25" s="1">
        <v>-1.99</v>
      </c>
      <c r="ED25" s="1">
        <v>2.56</v>
      </c>
    </row>
    <row r="26" spans="1:134" x14ac:dyDescent="0.25">
      <c r="A26" t="s">
        <v>146</v>
      </c>
      <c r="B26" s="1">
        <v>6.7560000000000002</v>
      </c>
      <c r="C26" s="1">
        <v>4.1369999999999996</v>
      </c>
      <c r="D26" s="1">
        <v>9.1379999999999999</v>
      </c>
      <c r="E26" s="1">
        <v>7.4870000000000001</v>
      </c>
      <c r="F26" s="1">
        <v>11.856999999999999</v>
      </c>
      <c r="G26" s="1">
        <v>7.266</v>
      </c>
      <c r="H26" s="1">
        <v>7.9779999999999998</v>
      </c>
      <c r="I26" s="1">
        <v>21.670999999999999</v>
      </c>
      <c r="J26" s="1">
        <v>9.3800000000000008</v>
      </c>
      <c r="K26" s="1">
        <v>-8.3369999999999997</v>
      </c>
      <c r="L26" s="1">
        <v>0.33700000000000002</v>
      </c>
      <c r="M26" s="1">
        <v>0.34</v>
      </c>
      <c r="N26" t="s">
        <v>141</v>
      </c>
      <c r="O26" t="s">
        <v>140</v>
      </c>
      <c r="P26" t="s">
        <v>140</v>
      </c>
      <c r="Q26" t="s">
        <v>140</v>
      </c>
      <c r="R26" t="s">
        <v>140</v>
      </c>
      <c r="S26" t="s">
        <v>140</v>
      </c>
      <c r="T26" t="s">
        <v>140</v>
      </c>
      <c r="U26" t="s">
        <v>140</v>
      </c>
      <c r="V26" t="s">
        <v>140</v>
      </c>
      <c r="W26" t="s">
        <v>140</v>
      </c>
      <c r="X26" t="s">
        <v>140</v>
      </c>
      <c r="Y26" t="s">
        <v>140</v>
      </c>
      <c r="Z26" t="s">
        <v>140</v>
      </c>
      <c r="AA26" t="s">
        <v>140</v>
      </c>
      <c r="AB26" t="s">
        <v>140</v>
      </c>
      <c r="AC26" t="s">
        <v>140</v>
      </c>
      <c r="AD26" t="s">
        <v>140</v>
      </c>
      <c r="AE26" t="s">
        <v>140</v>
      </c>
      <c r="AF26" t="s">
        <v>140</v>
      </c>
      <c r="AG26" t="s">
        <v>140</v>
      </c>
      <c r="AH26" t="s">
        <v>140</v>
      </c>
      <c r="AI26" t="s">
        <v>140</v>
      </c>
      <c r="AJ26" t="s">
        <v>140</v>
      </c>
      <c r="AK26" t="s">
        <v>140</v>
      </c>
      <c r="AL26" t="s">
        <v>140</v>
      </c>
      <c r="AM26" t="s">
        <v>140</v>
      </c>
      <c r="AN26" t="s">
        <v>140</v>
      </c>
      <c r="AO26" t="s">
        <v>140</v>
      </c>
      <c r="AP26" t="s">
        <v>140</v>
      </c>
      <c r="AQ26" t="s">
        <v>140</v>
      </c>
      <c r="AR26" t="s">
        <v>140</v>
      </c>
      <c r="AS26" t="s">
        <v>140</v>
      </c>
      <c r="AT26" t="s">
        <v>140</v>
      </c>
      <c r="AU26" t="s">
        <v>140</v>
      </c>
      <c r="AV26" t="s">
        <v>140</v>
      </c>
      <c r="AW26" t="s">
        <v>140</v>
      </c>
      <c r="AX26" t="s">
        <v>140</v>
      </c>
      <c r="AY26" t="s">
        <v>140</v>
      </c>
      <c r="AZ26" t="s">
        <v>140</v>
      </c>
      <c r="BA26" t="s">
        <v>140</v>
      </c>
      <c r="BB26" t="s">
        <v>140</v>
      </c>
      <c r="BC26" t="s">
        <v>140</v>
      </c>
      <c r="BD26" t="s">
        <v>140</v>
      </c>
      <c r="BE26" t="s">
        <v>140</v>
      </c>
      <c r="BF26" t="s">
        <v>140</v>
      </c>
      <c r="BG26" t="s">
        <v>140</v>
      </c>
      <c r="BH26" t="s">
        <v>140</v>
      </c>
      <c r="BI26" t="s">
        <v>140</v>
      </c>
      <c r="BJ26" t="s">
        <v>140</v>
      </c>
      <c r="BK26" t="s">
        <v>140</v>
      </c>
      <c r="BL26" t="s">
        <v>140</v>
      </c>
      <c r="BM26" t="s">
        <v>140</v>
      </c>
      <c r="BN26" t="s">
        <v>140</v>
      </c>
      <c r="BO26" t="s">
        <v>140</v>
      </c>
      <c r="BP26" t="s">
        <v>140</v>
      </c>
      <c r="BQ26" t="s">
        <v>140</v>
      </c>
      <c r="BR26" t="s">
        <v>140</v>
      </c>
      <c r="BS26" t="s">
        <v>140</v>
      </c>
      <c r="BT26" t="s">
        <v>140</v>
      </c>
      <c r="BU26" t="s">
        <v>140</v>
      </c>
      <c r="BV26" t="s">
        <v>140</v>
      </c>
      <c r="BW26" t="s">
        <v>140</v>
      </c>
      <c r="BX26" t="s">
        <v>140</v>
      </c>
      <c r="BY26" t="s">
        <v>140</v>
      </c>
      <c r="BZ26" t="s">
        <v>140</v>
      </c>
      <c r="CA26" t="s">
        <v>140</v>
      </c>
      <c r="CB26" t="s">
        <v>140</v>
      </c>
      <c r="CC26" t="s">
        <v>140</v>
      </c>
      <c r="CD26" t="s">
        <v>140</v>
      </c>
      <c r="CE26" t="s">
        <v>140</v>
      </c>
      <c r="CF26" t="s">
        <v>140</v>
      </c>
      <c r="CG26" t="s">
        <v>140</v>
      </c>
      <c r="CH26" t="s">
        <v>140</v>
      </c>
      <c r="CI26" t="s">
        <v>140</v>
      </c>
      <c r="CJ26" t="s">
        <v>140</v>
      </c>
      <c r="CK26" t="s">
        <v>140</v>
      </c>
      <c r="CL26" t="s">
        <v>140</v>
      </c>
      <c r="CM26" t="s">
        <v>140</v>
      </c>
      <c r="CN26" t="s">
        <v>140</v>
      </c>
      <c r="CO26" t="s">
        <v>140</v>
      </c>
      <c r="CP26" t="s">
        <v>140</v>
      </c>
      <c r="CQ26" t="s">
        <v>140</v>
      </c>
      <c r="CR26" t="s">
        <v>140</v>
      </c>
      <c r="CS26" t="s">
        <v>140</v>
      </c>
      <c r="CT26" t="s">
        <v>140</v>
      </c>
      <c r="CU26" t="s">
        <v>140</v>
      </c>
      <c r="CV26" t="s">
        <v>140</v>
      </c>
      <c r="CW26" t="s">
        <v>140</v>
      </c>
      <c r="CX26" t="s">
        <v>140</v>
      </c>
      <c r="CY26" t="s">
        <v>140</v>
      </c>
      <c r="CZ26" t="s">
        <v>140</v>
      </c>
      <c r="DA26" t="s">
        <v>140</v>
      </c>
      <c r="DB26" t="s">
        <v>140</v>
      </c>
      <c r="DC26" s="1">
        <v>0</v>
      </c>
      <c r="DD26" s="1">
        <v>0</v>
      </c>
      <c r="DE26" s="1">
        <v>0</v>
      </c>
      <c r="DF26" s="1">
        <v>0</v>
      </c>
      <c r="DG26" s="1">
        <v>0</v>
      </c>
      <c r="DH26" s="1">
        <v>5.26</v>
      </c>
      <c r="DI26" s="1">
        <v>0</v>
      </c>
      <c r="DJ26" s="1">
        <v>6.7560000000000002</v>
      </c>
      <c r="DK26" s="1">
        <v>0</v>
      </c>
      <c r="DL26" s="1">
        <v>4.1369999999999996</v>
      </c>
      <c r="DM26" s="1">
        <v>0</v>
      </c>
      <c r="DN26" s="1">
        <v>9.1379999999999999</v>
      </c>
      <c r="DO26" s="1">
        <v>0</v>
      </c>
      <c r="DP26" s="1">
        <v>7.4870000000000001</v>
      </c>
      <c r="DQ26" s="1">
        <v>0</v>
      </c>
      <c r="DR26" s="1">
        <v>11.856999999999999</v>
      </c>
      <c r="DS26" s="1">
        <v>0</v>
      </c>
      <c r="DT26" s="1">
        <v>7.266</v>
      </c>
      <c r="DU26" s="1">
        <v>0</v>
      </c>
      <c r="DV26" s="1">
        <v>7.9779999999999998</v>
      </c>
      <c r="DW26" s="1">
        <v>0</v>
      </c>
      <c r="DX26" s="1">
        <v>21.670999999999999</v>
      </c>
      <c r="DY26" s="1">
        <v>0</v>
      </c>
      <c r="DZ26" s="1">
        <v>9.3800000000000008</v>
      </c>
      <c r="EA26" s="1">
        <v>0</v>
      </c>
      <c r="EB26" s="1">
        <v>-8.3369999999999997</v>
      </c>
      <c r="EC26" s="1">
        <v>0</v>
      </c>
      <c r="ED26" s="1">
        <v>0.33700000000000002</v>
      </c>
    </row>
    <row r="27" spans="1:134" x14ac:dyDescent="0.25">
      <c r="A27" t="s">
        <v>147</v>
      </c>
      <c r="B27" s="1">
        <v>1.51</v>
      </c>
      <c r="C27" s="1">
        <v>1.6639999999999999</v>
      </c>
      <c r="D27" s="1">
        <v>1.83</v>
      </c>
      <c r="E27" s="1">
        <v>2.0129999999999999</v>
      </c>
      <c r="F27" s="1">
        <v>2.0960000000000001</v>
      </c>
      <c r="G27" s="1">
        <v>2.496</v>
      </c>
      <c r="H27" s="1">
        <v>2.702</v>
      </c>
      <c r="I27" s="1">
        <v>2.9279999999999999</v>
      </c>
      <c r="J27" s="1">
        <v>2.7709999999999999</v>
      </c>
      <c r="K27" s="1">
        <v>2.8650000000000002</v>
      </c>
      <c r="L27" s="1">
        <v>3.407</v>
      </c>
      <c r="M27" s="1">
        <v>3.4059999999999997</v>
      </c>
      <c r="N27" t="s">
        <v>141</v>
      </c>
      <c r="O27" t="s">
        <v>140</v>
      </c>
      <c r="P27" t="s">
        <v>140</v>
      </c>
      <c r="Q27" t="s">
        <v>140</v>
      </c>
      <c r="R27" t="s">
        <v>140</v>
      </c>
      <c r="S27" t="s">
        <v>140</v>
      </c>
      <c r="T27" t="s">
        <v>140</v>
      </c>
      <c r="U27" t="s">
        <v>140</v>
      </c>
      <c r="V27" t="s">
        <v>140</v>
      </c>
      <c r="W27" t="s">
        <v>140</v>
      </c>
      <c r="X27" t="s">
        <v>140</v>
      </c>
      <c r="Y27" t="s">
        <v>140</v>
      </c>
      <c r="Z27" t="s">
        <v>140</v>
      </c>
      <c r="AA27" t="s">
        <v>140</v>
      </c>
      <c r="AB27" t="s">
        <v>140</v>
      </c>
      <c r="AC27" t="s">
        <v>140</v>
      </c>
      <c r="AD27" t="s">
        <v>140</v>
      </c>
      <c r="AE27" t="s">
        <v>140</v>
      </c>
      <c r="AF27" t="s">
        <v>140</v>
      </c>
      <c r="AG27" t="s">
        <v>140</v>
      </c>
      <c r="AH27" t="s">
        <v>140</v>
      </c>
      <c r="AI27" t="s">
        <v>140</v>
      </c>
      <c r="AJ27" t="s">
        <v>140</v>
      </c>
      <c r="AK27" t="s">
        <v>140</v>
      </c>
      <c r="AL27" t="s">
        <v>140</v>
      </c>
      <c r="AM27" t="s">
        <v>140</v>
      </c>
      <c r="AN27" t="s">
        <v>140</v>
      </c>
      <c r="AO27" t="s">
        <v>140</v>
      </c>
      <c r="AP27" t="s">
        <v>140</v>
      </c>
      <c r="AQ27" t="s">
        <v>140</v>
      </c>
      <c r="AR27" t="s">
        <v>140</v>
      </c>
      <c r="AS27" t="s">
        <v>140</v>
      </c>
      <c r="AT27" t="s">
        <v>140</v>
      </c>
      <c r="AU27" t="s">
        <v>140</v>
      </c>
      <c r="AV27" t="s">
        <v>140</v>
      </c>
      <c r="AW27" t="s">
        <v>140</v>
      </c>
      <c r="AX27" t="s">
        <v>140</v>
      </c>
      <c r="AY27" t="s">
        <v>140</v>
      </c>
      <c r="AZ27" t="s">
        <v>140</v>
      </c>
      <c r="BA27" t="s">
        <v>140</v>
      </c>
      <c r="BB27" t="s">
        <v>140</v>
      </c>
      <c r="BC27" t="s">
        <v>140</v>
      </c>
      <c r="BD27" t="s">
        <v>140</v>
      </c>
      <c r="BE27" t="s">
        <v>140</v>
      </c>
      <c r="BF27" t="s">
        <v>140</v>
      </c>
      <c r="BG27" t="s">
        <v>140</v>
      </c>
      <c r="BH27" t="s">
        <v>140</v>
      </c>
      <c r="BI27" t="s">
        <v>140</v>
      </c>
      <c r="BJ27" t="s">
        <v>140</v>
      </c>
      <c r="BK27" t="s">
        <v>140</v>
      </c>
      <c r="BL27" t="s">
        <v>140</v>
      </c>
      <c r="BM27" t="s">
        <v>140</v>
      </c>
      <c r="BN27" t="s">
        <v>140</v>
      </c>
      <c r="BO27" t="s">
        <v>140</v>
      </c>
      <c r="BP27" t="s">
        <v>140</v>
      </c>
      <c r="BQ27" t="s">
        <v>140</v>
      </c>
      <c r="BR27" t="s">
        <v>140</v>
      </c>
      <c r="BS27" t="s">
        <v>140</v>
      </c>
      <c r="BT27" t="s">
        <v>140</v>
      </c>
      <c r="BU27" t="s">
        <v>140</v>
      </c>
      <c r="BV27" t="s">
        <v>140</v>
      </c>
      <c r="BW27" t="s">
        <v>140</v>
      </c>
      <c r="BX27" t="s">
        <v>140</v>
      </c>
      <c r="BY27" t="s">
        <v>140</v>
      </c>
      <c r="BZ27" t="s">
        <v>140</v>
      </c>
      <c r="CA27" t="s">
        <v>140</v>
      </c>
      <c r="CB27" t="s">
        <v>140</v>
      </c>
      <c r="CC27" t="s">
        <v>140</v>
      </c>
      <c r="CD27" t="s">
        <v>140</v>
      </c>
      <c r="CE27" t="s">
        <v>140</v>
      </c>
      <c r="CF27" t="s">
        <v>140</v>
      </c>
      <c r="CG27" t="s">
        <v>140</v>
      </c>
      <c r="CH27" t="s">
        <v>140</v>
      </c>
      <c r="CI27" t="s">
        <v>140</v>
      </c>
      <c r="CJ27" t="s">
        <v>140</v>
      </c>
      <c r="CK27" t="s">
        <v>140</v>
      </c>
      <c r="CL27" t="s">
        <v>140</v>
      </c>
      <c r="CM27" t="s">
        <v>140</v>
      </c>
      <c r="CN27" t="s">
        <v>140</v>
      </c>
      <c r="CO27" t="s">
        <v>140</v>
      </c>
      <c r="CP27" t="s">
        <v>140</v>
      </c>
      <c r="CQ27" t="s">
        <v>140</v>
      </c>
      <c r="CR27" t="s">
        <v>140</v>
      </c>
      <c r="CS27" t="s">
        <v>140</v>
      </c>
      <c r="CT27" t="s">
        <v>140</v>
      </c>
      <c r="CU27" t="s">
        <v>140</v>
      </c>
      <c r="CV27" t="s">
        <v>140</v>
      </c>
      <c r="CW27" t="s">
        <v>140</v>
      </c>
      <c r="CX27" t="s">
        <v>140</v>
      </c>
      <c r="CY27" t="s">
        <v>140</v>
      </c>
      <c r="CZ27" t="s">
        <v>140</v>
      </c>
      <c r="DA27" t="s">
        <v>140</v>
      </c>
      <c r="DB27" t="s">
        <v>140</v>
      </c>
      <c r="DC27" s="1">
        <v>0</v>
      </c>
      <c r="DD27" s="1">
        <v>0</v>
      </c>
      <c r="DE27" s="1">
        <v>0</v>
      </c>
      <c r="DF27" s="1">
        <v>0</v>
      </c>
      <c r="DG27" s="1">
        <v>0.498</v>
      </c>
      <c r="DH27" s="1">
        <v>0.53</v>
      </c>
      <c r="DI27" s="1">
        <v>0.60099999999999998</v>
      </c>
      <c r="DJ27" s="1">
        <v>0.90800000000000003</v>
      </c>
      <c r="DK27" s="1">
        <v>0.82099999999999995</v>
      </c>
      <c r="DL27" s="1">
        <v>0.84299999999999997</v>
      </c>
      <c r="DM27" s="1">
        <v>0.92500000000000004</v>
      </c>
      <c r="DN27" s="1">
        <v>0.90400000000000003</v>
      </c>
      <c r="DO27" s="1">
        <v>1.01</v>
      </c>
      <c r="DP27" s="1">
        <v>1.0029999999999999</v>
      </c>
      <c r="DQ27" s="1">
        <v>1.093</v>
      </c>
      <c r="DR27" s="1">
        <v>1.002</v>
      </c>
      <c r="DS27" s="1">
        <v>1.24</v>
      </c>
      <c r="DT27" s="1">
        <v>1.256</v>
      </c>
      <c r="DU27" s="1">
        <v>1.395</v>
      </c>
      <c r="DV27" s="1">
        <v>1.3069999999999999</v>
      </c>
      <c r="DW27" s="1">
        <v>1.528</v>
      </c>
      <c r="DX27" s="1">
        <v>1.399</v>
      </c>
      <c r="DY27" s="1">
        <v>1.3149999999999999</v>
      </c>
      <c r="DZ27" s="1">
        <v>1.4570000000000001</v>
      </c>
      <c r="EA27" s="1">
        <v>1.4570000000000001</v>
      </c>
      <c r="EB27" s="1">
        <v>1.383</v>
      </c>
      <c r="EC27" s="1">
        <v>1.5269999999999999</v>
      </c>
      <c r="ED27" s="1">
        <v>1.879</v>
      </c>
    </row>
    <row r="28" spans="1:134" x14ac:dyDescent="0.25">
      <c r="A28" t="s">
        <v>148</v>
      </c>
      <c r="B28" s="1">
        <v>1.518</v>
      </c>
      <c r="C28" s="1">
        <v>1.6759999999999999</v>
      </c>
      <c r="D28" s="1">
        <v>1.841</v>
      </c>
      <c r="E28" s="1">
        <v>2.0209999999999999</v>
      </c>
      <c r="F28" s="1">
        <v>2.1070000000000002</v>
      </c>
      <c r="G28" s="1">
        <v>2.504</v>
      </c>
      <c r="H28" s="1">
        <v>2.72</v>
      </c>
      <c r="I28" s="1">
        <v>2.9460000000000002</v>
      </c>
      <c r="J28" s="1">
        <v>2.794</v>
      </c>
      <c r="K28" s="1">
        <v>3.1429999999999998</v>
      </c>
      <c r="L28" s="1">
        <v>3.4239999999999999</v>
      </c>
      <c r="M28" s="1">
        <v>3.423</v>
      </c>
      <c r="N28" t="s">
        <v>141</v>
      </c>
      <c r="O28" t="s">
        <v>140</v>
      </c>
      <c r="P28" t="s">
        <v>140</v>
      </c>
      <c r="Q28" t="s">
        <v>140</v>
      </c>
      <c r="R28" t="s">
        <v>140</v>
      </c>
      <c r="S28" t="s">
        <v>140</v>
      </c>
      <c r="T28" t="s">
        <v>140</v>
      </c>
      <c r="U28" t="s">
        <v>140</v>
      </c>
      <c r="V28" t="s">
        <v>140</v>
      </c>
      <c r="W28" t="s">
        <v>140</v>
      </c>
      <c r="X28" t="s">
        <v>140</v>
      </c>
      <c r="Y28" t="s">
        <v>140</v>
      </c>
      <c r="Z28" t="s">
        <v>140</v>
      </c>
      <c r="AA28" t="s">
        <v>140</v>
      </c>
      <c r="AB28" t="s">
        <v>140</v>
      </c>
      <c r="AC28" t="s">
        <v>140</v>
      </c>
      <c r="AD28" t="s">
        <v>140</v>
      </c>
      <c r="AE28" t="s">
        <v>140</v>
      </c>
      <c r="AF28" t="s">
        <v>140</v>
      </c>
      <c r="AG28" t="s">
        <v>140</v>
      </c>
      <c r="AH28" t="s">
        <v>140</v>
      </c>
      <c r="AI28" t="s">
        <v>140</v>
      </c>
      <c r="AJ28" t="s">
        <v>140</v>
      </c>
      <c r="AK28" t="s">
        <v>140</v>
      </c>
      <c r="AL28" t="s">
        <v>140</v>
      </c>
      <c r="AM28" t="s">
        <v>140</v>
      </c>
      <c r="AN28" t="s">
        <v>140</v>
      </c>
      <c r="AO28" t="s">
        <v>140</v>
      </c>
      <c r="AP28" t="s">
        <v>140</v>
      </c>
      <c r="AQ28" t="s">
        <v>140</v>
      </c>
      <c r="AR28" t="s">
        <v>140</v>
      </c>
      <c r="AS28" t="s">
        <v>140</v>
      </c>
      <c r="AT28" t="s">
        <v>140</v>
      </c>
      <c r="AU28" t="s">
        <v>140</v>
      </c>
      <c r="AV28" t="s">
        <v>140</v>
      </c>
      <c r="AW28" t="s">
        <v>140</v>
      </c>
      <c r="AX28" t="s">
        <v>140</v>
      </c>
      <c r="AY28" t="s">
        <v>140</v>
      </c>
      <c r="AZ28" t="s">
        <v>140</v>
      </c>
      <c r="BA28" t="s">
        <v>140</v>
      </c>
      <c r="BB28" t="s">
        <v>140</v>
      </c>
      <c r="BC28" t="s">
        <v>140</v>
      </c>
      <c r="BD28" t="s">
        <v>140</v>
      </c>
      <c r="BE28" t="s">
        <v>140</v>
      </c>
      <c r="BF28" t="s">
        <v>140</v>
      </c>
      <c r="BG28" t="s">
        <v>140</v>
      </c>
      <c r="BH28" t="s">
        <v>140</v>
      </c>
      <c r="BI28" t="s">
        <v>140</v>
      </c>
      <c r="BJ28" t="s">
        <v>140</v>
      </c>
      <c r="BK28" t="s">
        <v>140</v>
      </c>
      <c r="BL28" t="s">
        <v>140</v>
      </c>
      <c r="BM28" t="s">
        <v>140</v>
      </c>
      <c r="BN28" t="s">
        <v>140</v>
      </c>
      <c r="BO28" t="s">
        <v>140</v>
      </c>
      <c r="BP28" t="s">
        <v>140</v>
      </c>
      <c r="BQ28" t="s">
        <v>140</v>
      </c>
      <c r="BR28" t="s">
        <v>140</v>
      </c>
      <c r="BS28" t="s">
        <v>140</v>
      </c>
      <c r="BT28" t="s">
        <v>140</v>
      </c>
      <c r="BU28" t="s">
        <v>140</v>
      </c>
      <c r="BV28" t="s">
        <v>140</v>
      </c>
      <c r="BW28" t="s">
        <v>140</v>
      </c>
      <c r="BX28" t="s">
        <v>140</v>
      </c>
      <c r="BY28" t="s">
        <v>140</v>
      </c>
      <c r="BZ28" t="s">
        <v>140</v>
      </c>
      <c r="CA28" t="s">
        <v>140</v>
      </c>
      <c r="CB28" t="s">
        <v>140</v>
      </c>
      <c r="CC28" t="s">
        <v>140</v>
      </c>
      <c r="CD28" t="s">
        <v>140</v>
      </c>
      <c r="CE28" t="s">
        <v>140</v>
      </c>
      <c r="CF28" t="s">
        <v>140</v>
      </c>
      <c r="CG28" t="s">
        <v>140</v>
      </c>
      <c r="CH28" t="s">
        <v>140</v>
      </c>
      <c r="CI28" t="s">
        <v>140</v>
      </c>
      <c r="CJ28" t="s">
        <v>140</v>
      </c>
      <c r="CK28" t="s">
        <v>140</v>
      </c>
      <c r="CL28" t="s">
        <v>140</v>
      </c>
      <c r="CM28" t="s">
        <v>140</v>
      </c>
      <c r="CN28" t="s">
        <v>140</v>
      </c>
      <c r="CO28" t="s">
        <v>140</v>
      </c>
      <c r="CP28" t="s">
        <v>140</v>
      </c>
      <c r="CQ28" t="s">
        <v>140</v>
      </c>
      <c r="CR28" t="s">
        <v>140</v>
      </c>
      <c r="CS28" t="s">
        <v>140</v>
      </c>
      <c r="CT28" t="s">
        <v>140</v>
      </c>
      <c r="CU28" t="s">
        <v>140</v>
      </c>
      <c r="CV28" t="s">
        <v>140</v>
      </c>
      <c r="CW28" t="s">
        <v>140</v>
      </c>
      <c r="CX28" t="s">
        <v>140</v>
      </c>
      <c r="CY28" t="s">
        <v>140</v>
      </c>
      <c r="CZ28" t="s">
        <v>140</v>
      </c>
      <c r="DA28" t="s">
        <v>140</v>
      </c>
      <c r="DB28" t="s">
        <v>140</v>
      </c>
      <c r="DC28" s="1">
        <v>0</v>
      </c>
      <c r="DD28" s="1">
        <v>0</v>
      </c>
      <c r="DE28" s="1">
        <v>0</v>
      </c>
      <c r="DF28" s="1">
        <v>0</v>
      </c>
      <c r="DG28" s="1">
        <v>0.67</v>
      </c>
      <c r="DH28" s="1">
        <v>0.70399999999999996</v>
      </c>
      <c r="DI28" s="1">
        <v>0.73599999999999999</v>
      </c>
      <c r="DJ28" s="1">
        <v>0.78100000000000003</v>
      </c>
      <c r="DK28" s="1">
        <v>0.82499999999999996</v>
      </c>
      <c r="DL28" s="1">
        <v>0.85099999999999998</v>
      </c>
      <c r="DM28" s="1">
        <v>0.93100000000000005</v>
      </c>
      <c r="DN28" s="1">
        <v>0.91</v>
      </c>
      <c r="DO28" s="1">
        <v>1.0129999999999999</v>
      </c>
      <c r="DP28" s="1">
        <v>1.008</v>
      </c>
      <c r="DQ28" s="1">
        <v>1.1000000000000001</v>
      </c>
      <c r="DR28" s="1">
        <v>1.0069999999999999</v>
      </c>
      <c r="DS28" s="1">
        <v>1.242</v>
      </c>
      <c r="DT28" s="1">
        <v>1.262</v>
      </c>
      <c r="DU28" s="1">
        <v>1.403</v>
      </c>
      <c r="DV28" s="1">
        <v>1.3160000000000001</v>
      </c>
      <c r="DW28" s="1">
        <v>1.5349999999999999</v>
      </c>
      <c r="DX28" s="1">
        <v>1.41</v>
      </c>
      <c r="DY28" s="1">
        <v>1.323</v>
      </c>
      <c r="DZ28" s="1">
        <v>1.472</v>
      </c>
      <c r="EA28" s="1">
        <v>1.5469999999999999</v>
      </c>
      <c r="EB28" s="1">
        <v>1.57</v>
      </c>
      <c r="EC28" s="1">
        <v>1.536</v>
      </c>
      <c r="ED28" s="1">
        <v>1.887</v>
      </c>
    </row>
    <row r="29" spans="1:134" x14ac:dyDescent="0.25">
      <c r="A29" t="s">
        <v>149</v>
      </c>
      <c r="B29" s="1">
        <v>6.9020000000000001</v>
      </c>
      <c r="C29" s="1">
        <v>1.31</v>
      </c>
      <c r="D29" s="1">
        <v>1.4850000000000001</v>
      </c>
      <c r="E29" s="1">
        <v>1.6830000000000001</v>
      </c>
      <c r="F29" s="1">
        <v>1.7849999999999999</v>
      </c>
      <c r="G29" s="1">
        <v>2.052</v>
      </c>
      <c r="H29" s="1">
        <v>2.1739999999999999</v>
      </c>
      <c r="I29" s="1">
        <v>2.2629999999999999</v>
      </c>
      <c r="J29" s="1">
        <v>2.5019999999999998</v>
      </c>
      <c r="K29" s="1">
        <v>3.2989999999999999</v>
      </c>
      <c r="L29" s="1">
        <v>3.202</v>
      </c>
      <c r="M29" s="1">
        <v>0.35200000000000031</v>
      </c>
      <c r="N29" t="s">
        <v>141</v>
      </c>
      <c r="O29" t="s">
        <v>140</v>
      </c>
      <c r="P29" t="s">
        <v>140</v>
      </c>
      <c r="Q29" t="s">
        <v>140</v>
      </c>
      <c r="R29" t="s">
        <v>140</v>
      </c>
      <c r="S29" t="s">
        <v>140</v>
      </c>
      <c r="T29" t="s">
        <v>140</v>
      </c>
      <c r="U29" t="s">
        <v>140</v>
      </c>
      <c r="V29" t="s">
        <v>140</v>
      </c>
      <c r="W29" t="s">
        <v>140</v>
      </c>
      <c r="X29" t="s">
        <v>140</v>
      </c>
      <c r="Y29" t="s">
        <v>140</v>
      </c>
      <c r="Z29" t="s">
        <v>140</v>
      </c>
      <c r="AA29" t="s">
        <v>140</v>
      </c>
      <c r="AB29" t="s">
        <v>140</v>
      </c>
      <c r="AC29" t="s">
        <v>140</v>
      </c>
      <c r="AD29" t="s">
        <v>140</v>
      </c>
      <c r="AE29" t="s">
        <v>140</v>
      </c>
      <c r="AF29" t="s">
        <v>140</v>
      </c>
      <c r="AG29" t="s">
        <v>140</v>
      </c>
      <c r="AH29" t="s">
        <v>140</v>
      </c>
      <c r="AI29" t="s">
        <v>140</v>
      </c>
      <c r="AJ29" t="s">
        <v>140</v>
      </c>
      <c r="AK29" t="s">
        <v>140</v>
      </c>
      <c r="AL29" t="s">
        <v>140</v>
      </c>
      <c r="AM29" t="s">
        <v>140</v>
      </c>
      <c r="AN29" t="s">
        <v>140</v>
      </c>
      <c r="AO29" t="s">
        <v>140</v>
      </c>
      <c r="AP29" t="s">
        <v>140</v>
      </c>
      <c r="AQ29" t="s">
        <v>140</v>
      </c>
      <c r="AR29" t="s">
        <v>140</v>
      </c>
      <c r="AS29" t="s">
        <v>140</v>
      </c>
      <c r="AT29" t="s">
        <v>140</v>
      </c>
      <c r="AU29" t="s">
        <v>140</v>
      </c>
      <c r="AV29" t="s">
        <v>140</v>
      </c>
      <c r="AW29" t="s">
        <v>140</v>
      </c>
      <c r="AX29" t="s">
        <v>140</v>
      </c>
      <c r="AY29" t="s">
        <v>140</v>
      </c>
      <c r="AZ29" t="s">
        <v>140</v>
      </c>
      <c r="BA29" t="s">
        <v>140</v>
      </c>
      <c r="BB29" t="s">
        <v>140</v>
      </c>
      <c r="BC29" t="s">
        <v>140</v>
      </c>
      <c r="BD29" t="s">
        <v>140</v>
      </c>
      <c r="BE29" t="s">
        <v>140</v>
      </c>
      <c r="BF29" t="s">
        <v>140</v>
      </c>
      <c r="BG29" t="s">
        <v>140</v>
      </c>
      <c r="BH29" t="s">
        <v>140</v>
      </c>
      <c r="BI29" t="s">
        <v>140</v>
      </c>
      <c r="BJ29" t="s">
        <v>140</v>
      </c>
      <c r="BK29" t="s">
        <v>140</v>
      </c>
      <c r="BL29" t="s">
        <v>140</v>
      </c>
      <c r="BM29" t="s">
        <v>140</v>
      </c>
      <c r="BN29" t="s">
        <v>140</v>
      </c>
      <c r="BO29" t="s">
        <v>140</v>
      </c>
      <c r="BP29" t="s">
        <v>140</v>
      </c>
      <c r="BQ29" t="s">
        <v>140</v>
      </c>
      <c r="BR29" t="s">
        <v>140</v>
      </c>
      <c r="BS29" t="s">
        <v>140</v>
      </c>
      <c r="BT29" t="s">
        <v>140</v>
      </c>
      <c r="BU29" t="s">
        <v>140</v>
      </c>
      <c r="BV29" t="s">
        <v>140</v>
      </c>
      <c r="BW29" t="s">
        <v>140</v>
      </c>
      <c r="BX29" t="s">
        <v>140</v>
      </c>
      <c r="BY29" t="s">
        <v>140</v>
      </c>
      <c r="BZ29" t="s">
        <v>140</v>
      </c>
      <c r="CA29" t="s">
        <v>140</v>
      </c>
      <c r="CB29" t="s">
        <v>140</v>
      </c>
      <c r="CC29" t="s">
        <v>140</v>
      </c>
      <c r="CD29" t="s">
        <v>140</v>
      </c>
      <c r="CE29" t="s">
        <v>140</v>
      </c>
      <c r="CF29" t="s">
        <v>140</v>
      </c>
      <c r="CG29" t="s">
        <v>140</v>
      </c>
      <c r="CH29" t="s">
        <v>140</v>
      </c>
      <c r="CI29" t="s">
        <v>140</v>
      </c>
      <c r="CJ29" t="s">
        <v>140</v>
      </c>
      <c r="CK29" t="s">
        <v>140</v>
      </c>
      <c r="CL29" t="s">
        <v>140</v>
      </c>
      <c r="CM29" t="s">
        <v>140</v>
      </c>
      <c r="CN29" t="s">
        <v>140</v>
      </c>
      <c r="CO29" t="s">
        <v>140</v>
      </c>
      <c r="CP29" t="s">
        <v>140</v>
      </c>
      <c r="CQ29" t="s">
        <v>140</v>
      </c>
      <c r="CR29" t="s">
        <v>140</v>
      </c>
      <c r="CS29" t="s">
        <v>140</v>
      </c>
      <c r="CT29" t="s">
        <v>140</v>
      </c>
      <c r="CU29" t="s">
        <v>140</v>
      </c>
      <c r="CV29" t="s">
        <v>140</v>
      </c>
      <c r="CW29" t="s">
        <v>140</v>
      </c>
      <c r="CX29" t="s">
        <v>140</v>
      </c>
      <c r="CY29" t="s">
        <v>140</v>
      </c>
      <c r="CZ29" t="s">
        <v>140</v>
      </c>
      <c r="DA29" t="s">
        <v>140</v>
      </c>
      <c r="DB29" t="s">
        <v>140</v>
      </c>
      <c r="DC29" s="1">
        <v>0</v>
      </c>
      <c r="DD29" s="1">
        <v>0</v>
      </c>
      <c r="DE29" s="1">
        <v>0</v>
      </c>
      <c r="DF29" s="1">
        <v>0</v>
      </c>
      <c r="DG29" s="1">
        <v>2.016</v>
      </c>
      <c r="DH29" s="1">
        <v>3.472</v>
      </c>
      <c r="DI29" s="1">
        <v>2.008</v>
      </c>
      <c r="DJ29" s="1">
        <v>4.8710000000000004</v>
      </c>
      <c r="DK29" s="1">
        <v>2.0939999999999999</v>
      </c>
      <c r="DL29" s="1">
        <v>2.1739999999999999</v>
      </c>
      <c r="DM29" s="1">
        <v>3.7040000000000002</v>
      </c>
      <c r="DN29" s="1">
        <v>5.5229999999999997</v>
      </c>
      <c r="DO29" s="1">
        <v>3.08</v>
      </c>
      <c r="DP29" s="1">
        <v>4.4219999999999997</v>
      </c>
      <c r="DQ29" s="1">
        <v>7.3680000000000003</v>
      </c>
      <c r="DR29" s="1">
        <v>4.4420000000000002</v>
      </c>
      <c r="DS29" s="1">
        <v>3.5169999999999999</v>
      </c>
      <c r="DT29" s="1">
        <v>3.6880000000000002</v>
      </c>
      <c r="DU29" s="1">
        <v>2.698</v>
      </c>
      <c r="DV29" s="1">
        <v>5.3310000000000004</v>
      </c>
      <c r="DW29" s="1">
        <v>5.4850000000000003</v>
      </c>
      <c r="DX29" s="1">
        <v>16.364999999999998</v>
      </c>
      <c r="DY29" s="1">
        <v>4.3600000000000003</v>
      </c>
      <c r="DZ29" s="1">
        <v>5.26</v>
      </c>
      <c r="EA29" s="1">
        <v>3.1309999999999998</v>
      </c>
      <c r="EB29" s="1">
        <v>-11.528</v>
      </c>
      <c r="EC29" s="1">
        <v>-2.0979999999999999</v>
      </c>
      <c r="ED29" s="1">
        <v>2.4500000000000002</v>
      </c>
    </row>
    <row r="30" spans="1:134" x14ac:dyDescent="0.25">
      <c r="A30" t="s">
        <v>150</v>
      </c>
      <c r="B30" s="1">
        <v>0.38300000000000001</v>
      </c>
      <c r="C30" s="1">
        <v>0.75700000000000001</v>
      </c>
      <c r="D30" s="1">
        <v>1.3779999999999999</v>
      </c>
      <c r="E30" s="1">
        <v>1.2090000000000001</v>
      </c>
      <c r="F30" s="1">
        <v>1.5049999999999999</v>
      </c>
      <c r="G30" s="1">
        <v>0.20200000000000001</v>
      </c>
      <c r="H30" s="1">
        <v>0.31</v>
      </c>
      <c r="I30" s="1">
        <v>5.4370000000000003</v>
      </c>
      <c r="J30" s="1">
        <v>3.2189999999999999</v>
      </c>
      <c r="K30" s="1">
        <v>3.8279999999999998</v>
      </c>
      <c r="L30" s="1">
        <v>1.2150000000000001</v>
      </c>
      <c r="M30" s="1">
        <v>1.2150000000000001</v>
      </c>
      <c r="N30" t="s">
        <v>141</v>
      </c>
      <c r="O30" t="s">
        <v>140</v>
      </c>
      <c r="P30" t="s">
        <v>140</v>
      </c>
      <c r="Q30" t="s">
        <v>140</v>
      </c>
      <c r="R30" t="s">
        <v>140</v>
      </c>
      <c r="S30" t="s">
        <v>140</v>
      </c>
      <c r="T30" t="s">
        <v>140</v>
      </c>
      <c r="U30" t="s">
        <v>140</v>
      </c>
      <c r="V30" t="s">
        <v>140</v>
      </c>
      <c r="W30" t="s">
        <v>140</v>
      </c>
      <c r="X30" t="s">
        <v>140</v>
      </c>
      <c r="Y30" t="s">
        <v>140</v>
      </c>
      <c r="Z30" t="s">
        <v>140</v>
      </c>
      <c r="AA30" t="s">
        <v>140</v>
      </c>
      <c r="AB30" t="s">
        <v>140</v>
      </c>
      <c r="AC30" t="s">
        <v>140</v>
      </c>
      <c r="AD30" t="s">
        <v>140</v>
      </c>
      <c r="AE30" t="s">
        <v>140</v>
      </c>
      <c r="AF30" t="s">
        <v>140</v>
      </c>
      <c r="AG30" t="s">
        <v>140</v>
      </c>
      <c r="AH30" t="s">
        <v>140</v>
      </c>
      <c r="AI30" t="s">
        <v>140</v>
      </c>
      <c r="AJ30" t="s">
        <v>140</v>
      </c>
      <c r="AK30" t="s">
        <v>140</v>
      </c>
      <c r="AL30" t="s">
        <v>140</v>
      </c>
      <c r="AM30" t="s">
        <v>140</v>
      </c>
      <c r="AN30" t="s">
        <v>140</v>
      </c>
      <c r="AO30" t="s">
        <v>140</v>
      </c>
      <c r="AP30" t="s">
        <v>140</v>
      </c>
      <c r="AQ30" t="s">
        <v>140</v>
      </c>
      <c r="AR30" t="s">
        <v>140</v>
      </c>
      <c r="AS30" t="s">
        <v>140</v>
      </c>
      <c r="AT30" t="s">
        <v>140</v>
      </c>
      <c r="AU30" t="s">
        <v>140</v>
      </c>
      <c r="AV30" t="s">
        <v>140</v>
      </c>
      <c r="AW30" t="s">
        <v>140</v>
      </c>
      <c r="AX30" t="s">
        <v>140</v>
      </c>
      <c r="AY30" t="s">
        <v>140</v>
      </c>
      <c r="AZ30" t="s">
        <v>140</v>
      </c>
      <c r="BA30" t="s">
        <v>140</v>
      </c>
      <c r="BB30" t="s">
        <v>140</v>
      </c>
      <c r="BC30" t="s">
        <v>140</v>
      </c>
      <c r="BD30" t="s">
        <v>140</v>
      </c>
      <c r="BE30" t="s">
        <v>140</v>
      </c>
      <c r="BF30" t="s">
        <v>140</v>
      </c>
      <c r="BG30" t="s">
        <v>140</v>
      </c>
      <c r="BH30" t="s">
        <v>140</v>
      </c>
      <c r="BI30" t="s">
        <v>140</v>
      </c>
      <c r="BJ30" t="s">
        <v>140</v>
      </c>
      <c r="BK30" t="s">
        <v>140</v>
      </c>
      <c r="BL30" t="s">
        <v>140</v>
      </c>
      <c r="BM30" t="s">
        <v>140</v>
      </c>
      <c r="BN30" t="s">
        <v>140</v>
      </c>
      <c r="BO30" t="s">
        <v>140</v>
      </c>
      <c r="BP30" t="s">
        <v>140</v>
      </c>
      <c r="BQ30" t="s">
        <v>140</v>
      </c>
      <c r="BR30" t="s">
        <v>140</v>
      </c>
      <c r="BS30" t="s">
        <v>140</v>
      </c>
      <c r="BT30" t="s">
        <v>140</v>
      </c>
      <c r="BU30" t="s">
        <v>140</v>
      </c>
      <c r="BV30" t="s">
        <v>140</v>
      </c>
      <c r="BW30" t="s">
        <v>140</v>
      </c>
      <c r="BX30" t="s">
        <v>140</v>
      </c>
      <c r="BY30" t="s">
        <v>140</v>
      </c>
      <c r="BZ30" t="s">
        <v>140</v>
      </c>
      <c r="CA30" t="s">
        <v>140</v>
      </c>
      <c r="CB30" t="s">
        <v>140</v>
      </c>
      <c r="CC30" t="s">
        <v>140</v>
      </c>
      <c r="CD30" t="s">
        <v>140</v>
      </c>
      <c r="CE30" t="s">
        <v>140</v>
      </c>
      <c r="CF30" t="s">
        <v>140</v>
      </c>
      <c r="CG30" t="s">
        <v>140</v>
      </c>
      <c r="CH30" t="s">
        <v>140</v>
      </c>
      <c r="CI30" t="s">
        <v>140</v>
      </c>
      <c r="CJ30" t="s">
        <v>140</v>
      </c>
      <c r="CK30" t="s">
        <v>140</v>
      </c>
      <c r="CL30" t="s">
        <v>140</v>
      </c>
      <c r="CM30" t="s">
        <v>140</v>
      </c>
      <c r="CN30" t="s">
        <v>140</v>
      </c>
      <c r="CO30" t="s">
        <v>140</v>
      </c>
      <c r="CP30" t="s">
        <v>140</v>
      </c>
      <c r="CQ30" t="s">
        <v>140</v>
      </c>
      <c r="CR30" t="s">
        <v>140</v>
      </c>
      <c r="CS30" t="s">
        <v>140</v>
      </c>
      <c r="CT30" t="s">
        <v>140</v>
      </c>
      <c r="CU30" t="s">
        <v>140</v>
      </c>
      <c r="CV30" t="s">
        <v>140</v>
      </c>
      <c r="CW30" t="s">
        <v>140</v>
      </c>
      <c r="CX30" t="s">
        <v>140</v>
      </c>
      <c r="CY30" t="s">
        <v>140</v>
      </c>
      <c r="CZ30" t="s">
        <v>140</v>
      </c>
      <c r="DA30" t="s">
        <v>140</v>
      </c>
      <c r="DB30" t="s">
        <v>140</v>
      </c>
      <c r="DC30" s="1">
        <v>0.35</v>
      </c>
      <c r="DD30" s="1">
        <v>0.69799999999999995</v>
      </c>
      <c r="DE30" s="1">
        <v>0.84499999999999997</v>
      </c>
      <c r="DF30" s="1">
        <v>0.55400000000000005</v>
      </c>
      <c r="DG30" s="1">
        <v>0</v>
      </c>
      <c r="DH30" s="1">
        <v>0.38800000000000001</v>
      </c>
      <c r="DI30" s="1">
        <v>0.40899999999999997</v>
      </c>
      <c r="DJ30" s="1">
        <v>0.38300000000000001</v>
      </c>
      <c r="DK30" s="1">
        <v>0.95</v>
      </c>
      <c r="DL30" s="1">
        <v>0.75700000000000001</v>
      </c>
      <c r="DM30" s="1">
        <v>1.19</v>
      </c>
      <c r="DN30" s="1">
        <v>1.3779999999999999</v>
      </c>
      <c r="DO30" s="1">
        <v>1.105</v>
      </c>
      <c r="DP30" s="1">
        <v>1.2090000000000001</v>
      </c>
      <c r="DQ30" s="1">
        <v>1.5620000000000001</v>
      </c>
      <c r="DR30" s="1">
        <v>1.5049999999999999</v>
      </c>
      <c r="DS30" s="1">
        <v>0.23</v>
      </c>
      <c r="DT30" s="1">
        <v>0.20200000000000001</v>
      </c>
      <c r="DU30" s="1">
        <v>0.22600000000000001</v>
      </c>
      <c r="DV30" s="1">
        <v>0.31</v>
      </c>
      <c r="DW30" s="1">
        <v>0.28000000000000003</v>
      </c>
      <c r="DX30" s="1">
        <v>5.4370000000000003</v>
      </c>
      <c r="DY30" s="1">
        <v>1.823</v>
      </c>
      <c r="DZ30" s="1">
        <v>3.2189999999999999</v>
      </c>
      <c r="EA30" s="1">
        <v>2.9820000000000002</v>
      </c>
      <c r="EB30" s="1">
        <v>3.8279999999999998</v>
      </c>
      <c r="EC30" s="1">
        <v>0.88</v>
      </c>
      <c r="ED30" s="1">
        <v>1.2150000000000001</v>
      </c>
    </row>
    <row r="31" spans="1:134" x14ac:dyDescent="0.25">
      <c r="A31" t="s">
        <v>151</v>
      </c>
      <c r="B31" s="1">
        <v>1.00692</v>
      </c>
      <c r="C31" s="1">
        <v>1.2070000000000001</v>
      </c>
      <c r="D31" s="1">
        <v>1.3749</v>
      </c>
      <c r="E31" s="1">
        <v>1.556</v>
      </c>
      <c r="F31" s="1">
        <v>1.7515000000000001</v>
      </c>
      <c r="G31" s="1">
        <v>1.9227000000000001</v>
      </c>
      <c r="H31" s="1">
        <v>2.1894</v>
      </c>
      <c r="I31" s="1">
        <v>2.3816000000000002</v>
      </c>
      <c r="J31" s="1">
        <v>2.589</v>
      </c>
      <c r="K31" s="1">
        <v>2.8201999999999998</v>
      </c>
      <c r="L31" s="1">
        <v>2.8736999999999999</v>
      </c>
      <c r="M31" s="1">
        <v>2.8737000000000004</v>
      </c>
      <c r="N31" t="s">
        <v>141</v>
      </c>
      <c r="O31" t="s">
        <v>140</v>
      </c>
      <c r="P31" t="s">
        <v>140</v>
      </c>
      <c r="Q31" t="s">
        <v>140</v>
      </c>
      <c r="R31" t="s">
        <v>140</v>
      </c>
      <c r="S31" t="s">
        <v>140</v>
      </c>
      <c r="T31" t="s">
        <v>140</v>
      </c>
      <c r="U31" t="s">
        <v>140</v>
      </c>
      <c r="V31" t="s">
        <v>140</v>
      </c>
      <c r="W31" t="s">
        <v>140</v>
      </c>
      <c r="X31" t="s">
        <v>140</v>
      </c>
      <c r="Y31" t="s">
        <v>140</v>
      </c>
      <c r="Z31" t="s">
        <v>140</v>
      </c>
      <c r="AA31" t="s">
        <v>140</v>
      </c>
      <c r="AB31" t="s">
        <v>140</v>
      </c>
      <c r="AC31" t="s">
        <v>140</v>
      </c>
      <c r="AD31" t="s">
        <v>140</v>
      </c>
      <c r="AE31" t="s">
        <v>140</v>
      </c>
      <c r="AF31" t="s">
        <v>140</v>
      </c>
      <c r="AG31" t="s">
        <v>140</v>
      </c>
      <c r="AH31" t="s">
        <v>140</v>
      </c>
      <c r="AI31" t="s">
        <v>140</v>
      </c>
      <c r="AJ31" t="s">
        <v>140</v>
      </c>
      <c r="AK31" t="s">
        <v>140</v>
      </c>
      <c r="AL31" t="s">
        <v>140</v>
      </c>
      <c r="AM31" t="s">
        <v>140</v>
      </c>
      <c r="AN31" t="s">
        <v>140</v>
      </c>
      <c r="AO31" t="s">
        <v>140</v>
      </c>
      <c r="AP31" t="s">
        <v>140</v>
      </c>
      <c r="AQ31" t="s">
        <v>140</v>
      </c>
      <c r="AR31" t="s">
        <v>140</v>
      </c>
      <c r="AS31" t="s">
        <v>140</v>
      </c>
      <c r="AT31" t="s">
        <v>140</v>
      </c>
      <c r="AU31" t="s">
        <v>140</v>
      </c>
      <c r="AV31" t="s">
        <v>140</v>
      </c>
      <c r="AW31" t="s">
        <v>140</v>
      </c>
      <c r="AX31" t="s">
        <v>140</v>
      </c>
      <c r="AY31" t="s">
        <v>140</v>
      </c>
      <c r="AZ31" t="s">
        <v>140</v>
      </c>
      <c r="BA31" t="s">
        <v>140</v>
      </c>
      <c r="BB31" t="s">
        <v>140</v>
      </c>
      <c r="BC31" t="s">
        <v>140</v>
      </c>
      <c r="BD31" t="s">
        <v>140</v>
      </c>
      <c r="BE31" t="s">
        <v>140</v>
      </c>
      <c r="BF31" t="s">
        <v>140</v>
      </c>
      <c r="BG31" t="s">
        <v>140</v>
      </c>
      <c r="BH31" t="s">
        <v>140</v>
      </c>
      <c r="BI31" t="s">
        <v>140</v>
      </c>
      <c r="BJ31" t="s">
        <v>140</v>
      </c>
      <c r="BK31" t="s">
        <v>140</v>
      </c>
      <c r="BL31" t="s">
        <v>140</v>
      </c>
      <c r="BM31" t="s">
        <v>140</v>
      </c>
      <c r="BN31" t="s">
        <v>140</v>
      </c>
      <c r="BO31" t="s">
        <v>140</v>
      </c>
      <c r="BP31" t="s">
        <v>140</v>
      </c>
      <c r="BQ31" t="s">
        <v>140</v>
      </c>
      <c r="BR31" t="s">
        <v>140</v>
      </c>
      <c r="BS31" t="s">
        <v>140</v>
      </c>
      <c r="BT31" t="s">
        <v>140</v>
      </c>
      <c r="BU31" t="s">
        <v>140</v>
      </c>
      <c r="BV31" t="s">
        <v>140</v>
      </c>
      <c r="BW31" t="s">
        <v>140</v>
      </c>
      <c r="BX31" t="s">
        <v>140</v>
      </c>
      <c r="BY31" t="s">
        <v>140</v>
      </c>
      <c r="BZ31" t="s">
        <v>140</v>
      </c>
      <c r="CA31" t="s">
        <v>140</v>
      </c>
      <c r="CB31" t="s">
        <v>140</v>
      </c>
      <c r="CC31" t="s">
        <v>140</v>
      </c>
      <c r="CD31" t="s">
        <v>140</v>
      </c>
      <c r="CE31" t="s">
        <v>140</v>
      </c>
      <c r="CF31" t="s">
        <v>140</v>
      </c>
      <c r="CG31" t="s">
        <v>140</v>
      </c>
      <c r="CH31" t="s">
        <v>140</v>
      </c>
      <c r="CI31" t="s">
        <v>140</v>
      </c>
      <c r="CJ31" t="s">
        <v>140</v>
      </c>
      <c r="CK31" t="s">
        <v>140</v>
      </c>
      <c r="CL31" t="s">
        <v>140</v>
      </c>
      <c r="CM31" t="s">
        <v>140</v>
      </c>
      <c r="CN31" t="s">
        <v>140</v>
      </c>
      <c r="CO31" t="s">
        <v>140</v>
      </c>
      <c r="CP31" t="s">
        <v>140</v>
      </c>
      <c r="CQ31" t="s">
        <v>140</v>
      </c>
      <c r="CR31" t="s">
        <v>140</v>
      </c>
      <c r="CS31" t="s">
        <v>140</v>
      </c>
      <c r="CT31" t="s">
        <v>140</v>
      </c>
      <c r="CU31" t="s">
        <v>140</v>
      </c>
      <c r="CV31" t="s">
        <v>140</v>
      </c>
      <c r="CW31" t="s">
        <v>140</v>
      </c>
      <c r="CX31" t="s">
        <v>140</v>
      </c>
      <c r="CY31" t="s">
        <v>140</v>
      </c>
      <c r="CZ31" t="s">
        <v>140</v>
      </c>
      <c r="DA31" t="s">
        <v>140</v>
      </c>
      <c r="DB31" t="s">
        <v>140</v>
      </c>
      <c r="DC31" s="1">
        <v>0</v>
      </c>
      <c r="DD31" s="1">
        <v>0</v>
      </c>
      <c r="DE31" s="1">
        <v>0</v>
      </c>
      <c r="DF31" s="1">
        <v>0</v>
      </c>
      <c r="DG31" s="1">
        <v>0.42085</v>
      </c>
      <c r="DH31" s="1">
        <v>0.47178599999999998</v>
      </c>
      <c r="DI31" s="1">
        <v>0.478323</v>
      </c>
      <c r="DJ31" s="1">
        <v>0.52859999999999996</v>
      </c>
      <c r="DK31" s="1">
        <v>0.57589999999999997</v>
      </c>
      <c r="DL31" s="1">
        <v>0.63109999999999999</v>
      </c>
      <c r="DM31" s="1">
        <v>0.66410000000000002</v>
      </c>
      <c r="DN31" s="1">
        <v>0.71079999999999999</v>
      </c>
      <c r="DO31" s="1">
        <v>0.75380000000000003</v>
      </c>
      <c r="DP31" s="1">
        <v>0.80220000000000002</v>
      </c>
      <c r="DQ31" s="1">
        <v>0.85589999999999999</v>
      </c>
      <c r="DR31" s="1">
        <v>0.89559999999999995</v>
      </c>
      <c r="DS31" s="1">
        <v>0.93279999999999996</v>
      </c>
      <c r="DT31" s="1">
        <v>0.9899</v>
      </c>
      <c r="DU31" s="1">
        <v>1.0719000000000001</v>
      </c>
      <c r="DV31" s="1">
        <v>1.1174999999999999</v>
      </c>
      <c r="DW31" s="1">
        <v>1.1666000000000001</v>
      </c>
      <c r="DX31" s="1">
        <v>1.2150000000000001</v>
      </c>
      <c r="DY31" s="1">
        <v>1.2827999999999999</v>
      </c>
      <c r="DZ31" s="1">
        <v>1.3062</v>
      </c>
      <c r="EA31" s="1">
        <v>1.4055</v>
      </c>
      <c r="EB31" s="1">
        <v>1.4147000000000001</v>
      </c>
      <c r="EC31" s="1">
        <v>1.4572000000000001</v>
      </c>
      <c r="ED31" s="1">
        <v>1.4165000000000001</v>
      </c>
    </row>
    <row r="32" spans="1:134" x14ac:dyDescent="0.25">
      <c r="A32" t="s">
        <v>152</v>
      </c>
      <c r="B32" s="1">
        <v>24.626999999999999</v>
      </c>
      <c r="C32" s="1">
        <v>27.73</v>
      </c>
      <c r="D32" s="1">
        <v>35.682000000000002</v>
      </c>
      <c r="E32" s="1">
        <v>41.694000000000003</v>
      </c>
      <c r="F32" s="1">
        <v>51.534999999999997</v>
      </c>
      <c r="G32" s="1">
        <v>56.789000000000001</v>
      </c>
      <c r="H32" s="1">
        <v>62.468000000000004</v>
      </c>
      <c r="I32" s="1">
        <v>83.064999999999998</v>
      </c>
      <c r="J32" s="1">
        <v>89.478999999999999</v>
      </c>
      <c r="K32" s="1">
        <v>77.608999999999995</v>
      </c>
      <c r="L32" s="1">
        <v>76.239999999999995</v>
      </c>
      <c r="M32" s="1">
        <v>76.239999999999995</v>
      </c>
      <c r="N32" t="s">
        <v>141</v>
      </c>
      <c r="O32" t="s">
        <v>140</v>
      </c>
      <c r="P32" t="s">
        <v>140</v>
      </c>
      <c r="Q32" t="s">
        <v>140</v>
      </c>
      <c r="R32" t="s">
        <v>140</v>
      </c>
      <c r="S32" t="s">
        <v>140</v>
      </c>
      <c r="T32" t="s">
        <v>140</v>
      </c>
      <c r="U32" t="s">
        <v>140</v>
      </c>
      <c r="V32" t="s">
        <v>140</v>
      </c>
      <c r="W32" t="s">
        <v>140</v>
      </c>
      <c r="X32" t="s">
        <v>140</v>
      </c>
      <c r="Y32" t="s">
        <v>140</v>
      </c>
      <c r="Z32" t="s">
        <v>140</v>
      </c>
      <c r="AA32" t="s">
        <v>140</v>
      </c>
      <c r="AB32" t="s">
        <v>140</v>
      </c>
      <c r="AC32" t="s">
        <v>140</v>
      </c>
      <c r="AD32" t="s">
        <v>140</v>
      </c>
      <c r="AE32" t="s">
        <v>140</v>
      </c>
      <c r="AF32" t="s">
        <v>140</v>
      </c>
      <c r="AG32" t="s">
        <v>140</v>
      </c>
      <c r="AH32" t="s">
        <v>140</v>
      </c>
      <c r="AI32" t="s">
        <v>140</v>
      </c>
      <c r="AJ32" t="s">
        <v>140</v>
      </c>
      <c r="AK32" t="s">
        <v>140</v>
      </c>
      <c r="AL32" t="s">
        <v>140</v>
      </c>
      <c r="AM32" t="s">
        <v>140</v>
      </c>
      <c r="AN32" t="s">
        <v>140</v>
      </c>
      <c r="AO32" t="s">
        <v>140</v>
      </c>
      <c r="AP32" t="s">
        <v>140</v>
      </c>
      <c r="AQ32" t="s">
        <v>140</v>
      </c>
      <c r="AR32" t="s">
        <v>140</v>
      </c>
      <c r="AS32" t="s">
        <v>140</v>
      </c>
      <c r="AT32" t="s">
        <v>140</v>
      </c>
      <c r="AU32" t="s">
        <v>140</v>
      </c>
      <c r="AV32" t="s">
        <v>140</v>
      </c>
      <c r="AW32" t="s">
        <v>140</v>
      </c>
      <c r="AX32" t="s">
        <v>140</v>
      </c>
      <c r="AY32" t="s">
        <v>140</v>
      </c>
      <c r="AZ32" t="s">
        <v>140</v>
      </c>
      <c r="BA32" t="s">
        <v>140</v>
      </c>
      <c r="BB32" t="s">
        <v>140</v>
      </c>
      <c r="BC32" t="s">
        <v>140</v>
      </c>
      <c r="BD32" t="s">
        <v>140</v>
      </c>
      <c r="BE32" t="s">
        <v>140</v>
      </c>
      <c r="BF32" t="s">
        <v>140</v>
      </c>
      <c r="BG32" t="s">
        <v>140</v>
      </c>
      <c r="BH32" t="s">
        <v>140</v>
      </c>
      <c r="BI32" t="s">
        <v>140</v>
      </c>
      <c r="BJ32" t="s">
        <v>140</v>
      </c>
      <c r="BK32" t="s">
        <v>140</v>
      </c>
      <c r="BL32" t="s">
        <v>140</v>
      </c>
      <c r="BM32" t="s">
        <v>140</v>
      </c>
      <c r="BN32" t="s">
        <v>140</v>
      </c>
      <c r="BO32" t="s">
        <v>140</v>
      </c>
      <c r="BP32" t="s">
        <v>140</v>
      </c>
      <c r="BQ32" t="s">
        <v>140</v>
      </c>
      <c r="BR32" t="s">
        <v>140</v>
      </c>
      <c r="BS32" t="s">
        <v>140</v>
      </c>
      <c r="BT32" t="s">
        <v>140</v>
      </c>
      <c r="BU32" t="s">
        <v>140</v>
      </c>
      <c r="BV32" t="s">
        <v>140</v>
      </c>
      <c r="BW32" t="s">
        <v>140</v>
      </c>
      <c r="BX32" t="s">
        <v>140</v>
      </c>
      <c r="BY32" t="s">
        <v>140</v>
      </c>
      <c r="BZ32" t="s">
        <v>140</v>
      </c>
      <c r="CA32" t="s">
        <v>140</v>
      </c>
      <c r="CB32" t="s">
        <v>140</v>
      </c>
      <c r="CC32" t="s">
        <v>140</v>
      </c>
      <c r="CD32" t="s">
        <v>140</v>
      </c>
      <c r="CE32" t="s">
        <v>140</v>
      </c>
      <c r="CF32" t="s">
        <v>140</v>
      </c>
      <c r="CG32" t="s">
        <v>140</v>
      </c>
      <c r="CH32" t="s">
        <v>140</v>
      </c>
      <c r="CI32" t="s">
        <v>140</v>
      </c>
      <c r="CJ32" t="s">
        <v>140</v>
      </c>
      <c r="CK32" t="s">
        <v>140</v>
      </c>
      <c r="CL32" t="s">
        <v>140</v>
      </c>
      <c r="CM32" t="s">
        <v>140</v>
      </c>
      <c r="CN32" t="s">
        <v>140</v>
      </c>
      <c r="CO32" t="s">
        <v>140</v>
      </c>
      <c r="CP32" t="s">
        <v>140</v>
      </c>
      <c r="CQ32" t="s">
        <v>140</v>
      </c>
      <c r="CR32" t="s">
        <v>140</v>
      </c>
      <c r="CS32" t="s">
        <v>140</v>
      </c>
      <c r="CT32" t="s">
        <v>140</v>
      </c>
      <c r="CU32" t="s">
        <v>140</v>
      </c>
      <c r="CV32" t="s">
        <v>140</v>
      </c>
      <c r="CW32" t="s">
        <v>140</v>
      </c>
      <c r="CX32" t="s">
        <v>140</v>
      </c>
      <c r="CY32" t="s">
        <v>140</v>
      </c>
      <c r="CZ32" t="s">
        <v>140</v>
      </c>
      <c r="DA32" t="s">
        <v>140</v>
      </c>
      <c r="DB32" t="s">
        <v>140</v>
      </c>
      <c r="DC32" s="1">
        <v>10.826000000000001</v>
      </c>
      <c r="DD32" s="1">
        <v>12.228999999999999</v>
      </c>
      <c r="DE32" s="1">
        <v>13.813000000000001</v>
      </c>
      <c r="DF32" s="1">
        <v>13.148999999999999</v>
      </c>
      <c r="DG32" s="1">
        <v>0</v>
      </c>
      <c r="DH32" s="1">
        <v>18.231999999999999</v>
      </c>
      <c r="DI32" s="1">
        <v>18.727</v>
      </c>
      <c r="DJ32" s="1">
        <v>24.626999999999999</v>
      </c>
      <c r="DK32" s="1">
        <v>26.141999999999999</v>
      </c>
      <c r="DL32" s="1">
        <v>27.73</v>
      </c>
      <c r="DM32" s="1">
        <v>30.815000000000001</v>
      </c>
      <c r="DN32" s="1">
        <v>35.682000000000002</v>
      </c>
      <c r="DO32" s="1">
        <v>38.042000000000002</v>
      </c>
      <c r="DP32" s="1">
        <v>41.694000000000003</v>
      </c>
      <c r="DQ32" s="1">
        <v>48.232999999999997</v>
      </c>
      <c r="DR32" s="1">
        <v>51.534999999999997</v>
      </c>
      <c r="DS32" s="1">
        <v>54.235999999999997</v>
      </c>
      <c r="DT32" s="1">
        <v>56.789000000000001</v>
      </c>
      <c r="DU32" s="1">
        <v>58.203000000000003</v>
      </c>
      <c r="DV32" s="1">
        <v>62.468000000000004</v>
      </c>
      <c r="DW32" s="1">
        <v>67.11</v>
      </c>
      <c r="DX32" s="1">
        <v>83.064999999999998</v>
      </c>
      <c r="DY32" s="1">
        <v>85.406999999999996</v>
      </c>
      <c r="DZ32" s="1">
        <v>89.478999999999999</v>
      </c>
      <c r="EA32" s="1">
        <v>90.58</v>
      </c>
      <c r="EB32" s="1">
        <v>77.608999999999995</v>
      </c>
      <c r="EC32" s="1">
        <v>74.597999999999999</v>
      </c>
      <c r="ED32" s="1">
        <v>76.239999999999995</v>
      </c>
    </row>
    <row r="33" spans="1:134" x14ac:dyDescent="0.25">
      <c r="A33" t="s">
        <v>153</v>
      </c>
      <c r="B33" s="1">
        <v>24.501000000000001</v>
      </c>
      <c r="C33" s="1">
        <v>27.582999999999998</v>
      </c>
      <c r="D33" s="1">
        <v>35.536999999999999</v>
      </c>
      <c r="E33" s="1">
        <v>41.551000000000002</v>
      </c>
      <c r="F33" s="1">
        <v>51.366999999999997</v>
      </c>
      <c r="G33" s="1">
        <v>56.572000000000003</v>
      </c>
      <c r="H33" s="1">
        <v>62.256999999999998</v>
      </c>
      <c r="I33" s="1">
        <v>82.870999999999995</v>
      </c>
      <c r="J33" s="1">
        <v>89.272999999999996</v>
      </c>
      <c r="K33" s="1">
        <v>77.403000000000006</v>
      </c>
      <c r="L33" s="1">
        <v>76.051000000000002</v>
      </c>
      <c r="M33" s="1">
        <v>76.051000000000002</v>
      </c>
      <c r="N33" t="s">
        <v>141</v>
      </c>
      <c r="O33" t="s">
        <v>140</v>
      </c>
      <c r="P33" t="s">
        <v>140</v>
      </c>
      <c r="Q33" t="s">
        <v>140</v>
      </c>
      <c r="R33" t="s">
        <v>140</v>
      </c>
      <c r="S33" t="s">
        <v>140</v>
      </c>
      <c r="T33" t="s">
        <v>140</v>
      </c>
      <c r="U33" t="s">
        <v>140</v>
      </c>
      <c r="V33" t="s">
        <v>140</v>
      </c>
      <c r="W33" t="s">
        <v>140</v>
      </c>
      <c r="X33" t="s">
        <v>140</v>
      </c>
      <c r="Y33" t="s">
        <v>140</v>
      </c>
      <c r="Z33" t="s">
        <v>140</v>
      </c>
      <c r="AA33" t="s">
        <v>140</v>
      </c>
      <c r="AB33" t="s">
        <v>140</v>
      </c>
      <c r="AC33" t="s">
        <v>140</v>
      </c>
      <c r="AD33" t="s">
        <v>140</v>
      </c>
      <c r="AE33" t="s">
        <v>140</v>
      </c>
      <c r="AF33" t="s">
        <v>140</v>
      </c>
      <c r="AG33" t="s">
        <v>140</v>
      </c>
      <c r="AH33" t="s">
        <v>140</v>
      </c>
      <c r="AI33" t="s">
        <v>140</v>
      </c>
      <c r="AJ33" t="s">
        <v>140</v>
      </c>
      <c r="AK33" t="s">
        <v>140</v>
      </c>
      <c r="AL33" t="s">
        <v>140</v>
      </c>
      <c r="AM33" t="s">
        <v>140</v>
      </c>
      <c r="AN33" t="s">
        <v>140</v>
      </c>
      <c r="AO33" t="s">
        <v>140</v>
      </c>
      <c r="AP33" t="s">
        <v>140</v>
      </c>
      <c r="AQ33" t="s">
        <v>140</v>
      </c>
      <c r="AR33" t="s">
        <v>140</v>
      </c>
      <c r="AS33" t="s">
        <v>140</v>
      </c>
      <c r="AT33" t="s">
        <v>140</v>
      </c>
      <c r="AU33" t="s">
        <v>140</v>
      </c>
      <c r="AV33" t="s">
        <v>140</v>
      </c>
      <c r="AW33" t="s">
        <v>140</v>
      </c>
      <c r="AX33" t="s">
        <v>140</v>
      </c>
      <c r="AY33" t="s">
        <v>140</v>
      </c>
      <c r="AZ33" t="s">
        <v>140</v>
      </c>
      <c r="BA33" t="s">
        <v>140</v>
      </c>
      <c r="BB33" t="s">
        <v>140</v>
      </c>
      <c r="BC33" t="s">
        <v>140</v>
      </c>
      <c r="BD33" t="s">
        <v>140</v>
      </c>
      <c r="BE33" t="s">
        <v>140</v>
      </c>
      <c r="BF33" t="s">
        <v>140</v>
      </c>
      <c r="BG33" t="s">
        <v>140</v>
      </c>
      <c r="BH33" t="s">
        <v>140</v>
      </c>
      <c r="BI33" t="s">
        <v>140</v>
      </c>
      <c r="BJ33" t="s">
        <v>140</v>
      </c>
      <c r="BK33" t="s">
        <v>140</v>
      </c>
      <c r="BL33" t="s">
        <v>140</v>
      </c>
      <c r="BM33" t="s">
        <v>140</v>
      </c>
      <c r="BN33" t="s">
        <v>140</v>
      </c>
      <c r="BO33" t="s">
        <v>140</v>
      </c>
      <c r="BP33" t="s">
        <v>140</v>
      </c>
      <c r="BQ33" t="s">
        <v>140</v>
      </c>
      <c r="BR33" t="s">
        <v>140</v>
      </c>
      <c r="BS33" t="s">
        <v>140</v>
      </c>
      <c r="BT33" t="s">
        <v>140</v>
      </c>
      <c r="BU33" t="s">
        <v>140</v>
      </c>
      <c r="BV33" t="s">
        <v>140</v>
      </c>
      <c r="BW33" t="s">
        <v>140</v>
      </c>
      <c r="BX33" t="s">
        <v>140</v>
      </c>
      <c r="BY33" t="s">
        <v>140</v>
      </c>
      <c r="BZ33" t="s">
        <v>140</v>
      </c>
      <c r="CA33" t="s">
        <v>140</v>
      </c>
      <c r="CB33" t="s">
        <v>140</v>
      </c>
      <c r="CC33" t="s">
        <v>140</v>
      </c>
      <c r="CD33" t="s">
        <v>140</v>
      </c>
      <c r="CE33" t="s">
        <v>140</v>
      </c>
      <c r="CF33" t="s">
        <v>140</v>
      </c>
      <c r="CG33" t="s">
        <v>140</v>
      </c>
      <c r="CH33" t="s">
        <v>140</v>
      </c>
      <c r="CI33" t="s">
        <v>140</v>
      </c>
      <c r="CJ33" t="s">
        <v>140</v>
      </c>
      <c r="CK33" t="s">
        <v>140</v>
      </c>
      <c r="CL33" t="s">
        <v>140</v>
      </c>
      <c r="CM33" t="s">
        <v>140</v>
      </c>
      <c r="CN33" t="s">
        <v>140</v>
      </c>
      <c r="CO33" t="s">
        <v>140</v>
      </c>
      <c r="CP33" t="s">
        <v>140</v>
      </c>
      <c r="CQ33" t="s">
        <v>140</v>
      </c>
      <c r="CR33" t="s">
        <v>140</v>
      </c>
      <c r="CS33" t="s">
        <v>140</v>
      </c>
      <c r="CT33" t="s">
        <v>140</v>
      </c>
      <c r="CU33" t="s">
        <v>140</v>
      </c>
      <c r="CV33" t="s">
        <v>140</v>
      </c>
      <c r="CW33" t="s">
        <v>140</v>
      </c>
      <c r="CX33" t="s">
        <v>140</v>
      </c>
      <c r="CY33" t="s">
        <v>140</v>
      </c>
      <c r="CZ33" t="s">
        <v>140</v>
      </c>
      <c r="DA33" t="s">
        <v>140</v>
      </c>
      <c r="DB33" t="s">
        <v>140</v>
      </c>
      <c r="DC33" s="1">
        <v>9.0060000000000002</v>
      </c>
      <c r="DD33" s="1">
        <v>10.409000000000001</v>
      </c>
      <c r="DE33" s="1">
        <v>12.01</v>
      </c>
      <c r="DF33" s="1">
        <v>11.353</v>
      </c>
      <c r="DG33" s="1">
        <v>0</v>
      </c>
      <c r="DH33" s="1">
        <v>18.108000000000001</v>
      </c>
      <c r="DI33" s="1">
        <v>16.928999999999998</v>
      </c>
      <c r="DJ33" s="1">
        <v>24.501000000000001</v>
      </c>
      <c r="DK33" s="1">
        <v>25.998999999999999</v>
      </c>
      <c r="DL33" s="1">
        <v>27.582999999999998</v>
      </c>
      <c r="DM33" s="1">
        <v>30.67</v>
      </c>
      <c r="DN33" s="1">
        <v>35.536999999999999</v>
      </c>
      <c r="DO33" s="1">
        <v>37.899000000000001</v>
      </c>
      <c r="DP33" s="1">
        <v>41.551000000000002</v>
      </c>
      <c r="DQ33" s="1">
        <v>48.064</v>
      </c>
      <c r="DR33" s="1">
        <v>51.366999999999997</v>
      </c>
      <c r="DS33" s="1">
        <v>54.021999999999998</v>
      </c>
      <c r="DT33" s="1">
        <v>56.572000000000003</v>
      </c>
      <c r="DU33" s="1">
        <v>57.99</v>
      </c>
      <c r="DV33" s="1">
        <v>62.256999999999998</v>
      </c>
      <c r="DW33" s="1">
        <v>66.888999999999996</v>
      </c>
      <c r="DX33" s="1">
        <v>82.870999999999995</v>
      </c>
      <c r="DY33" s="1">
        <v>85.218000000000004</v>
      </c>
      <c r="DZ33" s="1">
        <v>89.272999999999996</v>
      </c>
      <c r="EA33" s="1">
        <v>90.376999999999995</v>
      </c>
      <c r="EB33" s="1">
        <v>77.403000000000006</v>
      </c>
      <c r="EC33" s="1">
        <v>74.411000000000001</v>
      </c>
      <c r="ED33" s="1">
        <v>76.051000000000002</v>
      </c>
    </row>
    <row r="34" spans="1:134" x14ac:dyDescent="0.25">
      <c r="A34" t="s">
        <v>154</v>
      </c>
      <c r="B34" s="1">
        <v>4.6500000000000004</v>
      </c>
      <c r="C34" s="1">
        <v>5.5670000000000002</v>
      </c>
      <c r="D34" s="1">
        <v>5.915</v>
      </c>
      <c r="E34" s="1">
        <v>5.42</v>
      </c>
      <c r="F34" s="1">
        <v>7.4480000000000004</v>
      </c>
      <c r="G34" s="1">
        <v>12.003</v>
      </c>
      <c r="H34" s="1">
        <v>12.425000000000001</v>
      </c>
      <c r="I34" s="1">
        <v>11.993</v>
      </c>
      <c r="J34" s="1">
        <v>11.481</v>
      </c>
      <c r="K34" s="1">
        <v>16.812000000000001</v>
      </c>
      <c r="L34" s="1">
        <v>18.558</v>
      </c>
      <c r="M34" s="1">
        <v>18.558</v>
      </c>
      <c r="N34" t="s">
        <v>141</v>
      </c>
      <c r="O34" t="s">
        <v>140</v>
      </c>
      <c r="P34" t="s">
        <v>140</v>
      </c>
      <c r="Q34" t="s">
        <v>140</v>
      </c>
      <c r="R34" t="s">
        <v>140</v>
      </c>
      <c r="S34" t="s">
        <v>140</v>
      </c>
      <c r="T34" t="s">
        <v>140</v>
      </c>
      <c r="U34" t="s">
        <v>140</v>
      </c>
      <c r="V34" t="s">
        <v>140</v>
      </c>
      <c r="W34" t="s">
        <v>140</v>
      </c>
      <c r="X34" t="s">
        <v>140</v>
      </c>
      <c r="Y34" t="s">
        <v>140</v>
      </c>
      <c r="Z34" t="s">
        <v>140</v>
      </c>
      <c r="AA34" t="s">
        <v>140</v>
      </c>
      <c r="AB34" t="s">
        <v>140</v>
      </c>
      <c r="AC34" t="s">
        <v>140</v>
      </c>
      <c r="AD34" t="s">
        <v>140</v>
      </c>
      <c r="AE34" t="s">
        <v>140</v>
      </c>
      <c r="AF34" t="s">
        <v>140</v>
      </c>
      <c r="AG34" t="s">
        <v>140</v>
      </c>
      <c r="AH34" t="s">
        <v>140</v>
      </c>
      <c r="AI34" t="s">
        <v>140</v>
      </c>
      <c r="AJ34" t="s">
        <v>140</v>
      </c>
      <c r="AK34" t="s">
        <v>140</v>
      </c>
      <c r="AL34" t="s">
        <v>140</v>
      </c>
      <c r="AM34" t="s">
        <v>140</v>
      </c>
      <c r="AN34" t="s">
        <v>140</v>
      </c>
      <c r="AO34" t="s">
        <v>140</v>
      </c>
      <c r="AP34" t="s">
        <v>140</v>
      </c>
      <c r="AQ34" t="s">
        <v>140</v>
      </c>
      <c r="AR34" t="s">
        <v>140</v>
      </c>
      <c r="AS34" t="s">
        <v>140</v>
      </c>
      <c r="AT34" t="s">
        <v>140</v>
      </c>
      <c r="AU34" t="s">
        <v>140</v>
      </c>
      <c r="AV34" t="s">
        <v>140</v>
      </c>
      <c r="AW34" t="s">
        <v>140</v>
      </c>
      <c r="AX34" t="s">
        <v>140</v>
      </c>
      <c r="AY34" t="s">
        <v>140</v>
      </c>
      <c r="AZ34" t="s">
        <v>140</v>
      </c>
      <c r="BA34" t="s">
        <v>140</v>
      </c>
      <c r="BB34" t="s">
        <v>140</v>
      </c>
      <c r="BC34" t="s">
        <v>140</v>
      </c>
      <c r="BD34" t="s">
        <v>140</v>
      </c>
      <c r="BE34" t="s">
        <v>140</v>
      </c>
      <c r="BF34" t="s">
        <v>140</v>
      </c>
      <c r="BG34" t="s">
        <v>140</v>
      </c>
      <c r="BH34" t="s">
        <v>140</v>
      </c>
      <c r="BI34" t="s">
        <v>140</v>
      </c>
      <c r="BJ34" t="s">
        <v>140</v>
      </c>
      <c r="BK34" t="s">
        <v>140</v>
      </c>
      <c r="BL34" t="s">
        <v>140</v>
      </c>
      <c r="BM34" t="s">
        <v>140</v>
      </c>
      <c r="BN34" t="s">
        <v>140</v>
      </c>
      <c r="BO34" t="s">
        <v>140</v>
      </c>
      <c r="BP34" t="s">
        <v>140</v>
      </c>
      <c r="BQ34" t="s">
        <v>140</v>
      </c>
      <c r="BR34" t="s">
        <v>140</v>
      </c>
      <c r="BS34" t="s">
        <v>140</v>
      </c>
      <c r="BT34" t="s">
        <v>140</v>
      </c>
      <c r="BU34" t="s">
        <v>140</v>
      </c>
      <c r="BV34" t="s">
        <v>140</v>
      </c>
      <c r="BW34" t="s">
        <v>140</v>
      </c>
      <c r="BX34" t="s">
        <v>140</v>
      </c>
      <c r="BY34" t="s">
        <v>140</v>
      </c>
      <c r="BZ34" t="s">
        <v>140</v>
      </c>
      <c r="CA34" t="s">
        <v>140</v>
      </c>
      <c r="CB34" t="s">
        <v>140</v>
      </c>
      <c r="CC34" t="s">
        <v>140</v>
      </c>
      <c r="CD34" t="s">
        <v>140</v>
      </c>
      <c r="CE34" t="s">
        <v>140</v>
      </c>
      <c r="CF34" t="s">
        <v>140</v>
      </c>
      <c r="CG34" t="s">
        <v>140</v>
      </c>
      <c r="CH34" t="s">
        <v>140</v>
      </c>
      <c r="CI34" t="s">
        <v>140</v>
      </c>
      <c r="CJ34" t="s">
        <v>140</v>
      </c>
      <c r="CK34" t="s">
        <v>140</v>
      </c>
      <c r="CL34" t="s">
        <v>140</v>
      </c>
      <c r="CM34" t="s">
        <v>140</v>
      </c>
      <c r="CN34" t="s">
        <v>140</v>
      </c>
      <c r="CO34" t="s">
        <v>140</v>
      </c>
      <c r="CP34" t="s">
        <v>140</v>
      </c>
      <c r="CQ34" t="s">
        <v>140</v>
      </c>
      <c r="CR34" t="s">
        <v>140</v>
      </c>
      <c r="CS34" t="s">
        <v>140</v>
      </c>
      <c r="CT34" t="s">
        <v>140</v>
      </c>
      <c r="CU34" t="s">
        <v>140</v>
      </c>
      <c r="CV34" t="s">
        <v>140</v>
      </c>
      <c r="CW34" t="s">
        <v>140</v>
      </c>
      <c r="CX34" t="s">
        <v>140</v>
      </c>
      <c r="CY34" t="s">
        <v>140</v>
      </c>
      <c r="CZ34" t="s">
        <v>140</v>
      </c>
      <c r="DA34" t="s">
        <v>140</v>
      </c>
      <c r="DB34" t="s">
        <v>140</v>
      </c>
      <c r="DC34" s="1">
        <v>5.5549999999999997</v>
      </c>
      <c r="DD34" s="1">
        <v>5.5590000000000002</v>
      </c>
      <c r="DE34" s="1">
        <v>5.6779999999999999</v>
      </c>
      <c r="DF34" s="1">
        <v>5.4169999999999998</v>
      </c>
      <c r="DG34" s="1">
        <v>0</v>
      </c>
      <c r="DH34" s="1">
        <v>4.8150000000000004</v>
      </c>
      <c r="DI34" s="1">
        <v>4.8369999999999997</v>
      </c>
      <c r="DJ34" s="1">
        <v>4.6500000000000004</v>
      </c>
      <c r="DK34" s="1">
        <v>5.5810000000000004</v>
      </c>
      <c r="DL34" s="1">
        <v>5.5670000000000002</v>
      </c>
      <c r="DM34" s="1">
        <v>5.7149999999999999</v>
      </c>
      <c r="DN34" s="1">
        <v>5.915</v>
      </c>
      <c r="DO34" s="1">
        <v>5.2169999999999996</v>
      </c>
      <c r="DP34" s="1">
        <v>5.42</v>
      </c>
      <c r="DQ34" s="1">
        <v>6.2329999999999997</v>
      </c>
      <c r="DR34" s="1">
        <v>7.4480000000000004</v>
      </c>
      <c r="DS34" s="1">
        <v>11.833</v>
      </c>
      <c r="DT34" s="1">
        <v>12.003</v>
      </c>
      <c r="DU34" s="1">
        <v>13.327999999999999</v>
      </c>
      <c r="DV34" s="1">
        <v>12.425000000000001</v>
      </c>
      <c r="DW34" s="1">
        <v>15.179</v>
      </c>
      <c r="DX34" s="1">
        <v>11.993</v>
      </c>
      <c r="DY34" s="1">
        <v>10.474</v>
      </c>
      <c r="DZ34" s="1">
        <v>11.481</v>
      </c>
      <c r="EA34" s="1">
        <v>13.234</v>
      </c>
      <c r="EB34" s="1">
        <v>16.812000000000001</v>
      </c>
      <c r="EC34" s="1">
        <v>17.469000000000001</v>
      </c>
      <c r="ED34" s="1">
        <v>18.558</v>
      </c>
    </row>
    <row r="35" spans="1:134" x14ac:dyDescent="0.25">
      <c r="A35" t="s">
        <v>155</v>
      </c>
      <c r="B35" s="1">
        <v>24.35</v>
      </c>
      <c r="C35" s="1">
        <v>28.9</v>
      </c>
      <c r="D35" s="1">
        <v>42.3</v>
      </c>
      <c r="E35" s="1">
        <v>38.15</v>
      </c>
      <c r="F35" s="1">
        <v>47.8</v>
      </c>
      <c r="G35" s="1">
        <v>46</v>
      </c>
      <c r="H35" s="1">
        <v>54.45</v>
      </c>
      <c r="I35" s="1">
        <v>67</v>
      </c>
      <c r="J35" s="1">
        <v>91.8</v>
      </c>
      <c r="K35" s="1">
        <v>65.7</v>
      </c>
      <c r="L35" s="1">
        <v>70.8</v>
      </c>
      <c r="M35" s="1">
        <v>68.400000000000006</v>
      </c>
      <c r="N35" t="s">
        <v>141</v>
      </c>
      <c r="O35" t="s">
        <v>140</v>
      </c>
      <c r="P35" t="s">
        <v>140</v>
      </c>
      <c r="Q35" t="s">
        <v>140</v>
      </c>
      <c r="R35" t="s">
        <v>140</v>
      </c>
      <c r="S35" t="s">
        <v>140</v>
      </c>
      <c r="T35" t="s">
        <v>140</v>
      </c>
      <c r="U35" t="s">
        <v>140</v>
      </c>
      <c r="V35" t="s">
        <v>140</v>
      </c>
      <c r="W35" t="s">
        <v>140</v>
      </c>
      <c r="X35" t="s">
        <v>140</v>
      </c>
      <c r="Y35" t="s">
        <v>140</v>
      </c>
      <c r="Z35" t="s">
        <v>140</v>
      </c>
      <c r="AA35" t="s">
        <v>140</v>
      </c>
      <c r="AB35" t="s">
        <v>140</v>
      </c>
      <c r="AC35" t="s">
        <v>140</v>
      </c>
      <c r="AD35" t="s">
        <v>140</v>
      </c>
      <c r="AE35" t="s">
        <v>140</v>
      </c>
      <c r="AF35" t="s">
        <v>140</v>
      </c>
      <c r="AG35" t="s">
        <v>140</v>
      </c>
      <c r="AH35" t="s">
        <v>140</v>
      </c>
      <c r="AI35" t="s">
        <v>140</v>
      </c>
      <c r="AJ35" t="s">
        <v>140</v>
      </c>
      <c r="AK35" t="s">
        <v>140</v>
      </c>
      <c r="AL35" t="s">
        <v>140</v>
      </c>
      <c r="AM35" t="s">
        <v>140</v>
      </c>
      <c r="AN35" t="s">
        <v>140</v>
      </c>
      <c r="AO35" t="s">
        <v>140</v>
      </c>
      <c r="AP35" t="s">
        <v>140</v>
      </c>
      <c r="AQ35" t="s">
        <v>140</v>
      </c>
      <c r="AR35" t="s">
        <v>140</v>
      </c>
      <c r="AS35" t="s">
        <v>140</v>
      </c>
      <c r="AT35" t="s">
        <v>140</v>
      </c>
      <c r="AU35" t="s">
        <v>140</v>
      </c>
      <c r="AV35" t="s">
        <v>140</v>
      </c>
      <c r="AW35" t="s">
        <v>140</v>
      </c>
      <c r="AX35" t="s">
        <v>140</v>
      </c>
      <c r="AY35" t="s">
        <v>140</v>
      </c>
      <c r="AZ35" t="s">
        <v>140</v>
      </c>
      <c r="BA35" t="s">
        <v>140</v>
      </c>
      <c r="BB35" t="s">
        <v>140</v>
      </c>
      <c r="BC35" t="s">
        <v>140</v>
      </c>
      <c r="BD35" t="s">
        <v>140</v>
      </c>
      <c r="BE35" t="s">
        <v>140</v>
      </c>
      <c r="BF35" t="s">
        <v>140</v>
      </c>
      <c r="BG35" t="s">
        <v>140</v>
      </c>
      <c r="BH35" t="s">
        <v>140</v>
      </c>
      <c r="BI35" t="s">
        <v>140</v>
      </c>
      <c r="BJ35" t="s">
        <v>140</v>
      </c>
      <c r="BK35" t="s">
        <v>140</v>
      </c>
      <c r="BL35" t="s">
        <v>140</v>
      </c>
      <c r="BM35" t="s">
        <v>140</v>
      </c>
      <c r="BN35" t="s">
        <v>140</v>
      </c>
      <c r="BO35" t="s">
        <v>140</v>
      </c>
      <c r="BP35" t="s">
        <v>140</v>
      </c>
      <c r="BQ35" t="s">
        <v>140</v>
      </c>
      <c r="BR35" t="s">
        <v>140</v>
      </c>
      <c r="BS35" t="s">
        <v>140</v>
      </c>
      <c r="BT35" t="s">
        <v>140</v>
      </c>
      <c r="BU35" t="s">
        <v>140</v>
      </c>
      <c r="BV35" t="s">
        <v>140</v>
      </c>
      <c r="BW35" t="s">
        <v>140</v>
      </c>
      <c r="BX35" t="s">
        <v>140</v>
      </c>
      <c r="BY35" t="s">
        <v>140</v>
      </c>
      <c r="BZ35" t="s">
        <v>140</v>
      </c>
      <c r="CA35" t="s">
        <v>140</v>
      </c>
      <c r="CB35" t="s">
        <v>140</v>
      </c>
      <c r="CC35" t="s">
        <v>140</v>
      </c>
      <c r="CD35" t="s">
        <v>140</v>
      </c>
      <c r="CE35" t="s">
        <v>140</v>
      </c>
      <c r="CF35" t="s">
        <v>140</v>
      </c>
      <c r="CG35" t="s">
        <v>140</v>
      </c>
      <c r="CH35" t="s">
        <v>140</v>
      </c>
      <c r="CI35" t="s">
        <v>140</v>
      </c>
      <c r="CJ35" t="s">
        <v>140</v>
      </c>
      <c r="CK35" t="s">
        <v>140</v>
      </c>
      <c r="CL35" t="s">
        <v>140</v>
      </c>
      <c r="CM35" t="s">
        <v>140</v>
      </c>
      <c r="CN35" t="s">
        <v>140</v>
      </c>
      <c r="CO35" t="s">
        <v>140</v>
      </c>
      <c r="CP35" t="s">
        <v>140</v>
      </c>
      <c r="CQ35" t="s">
        <v>140</v>
      </c>
      <c r="CR35" t="s">
        <v>140</v>
      </c>
      <c r="CS35" t="s">
        <v>140</v>
      </c>
      <c r="CT35" t="s">
        <v>140</v>
      </c>
      <c r="CU35" t="s">
        <v>140</v>
      </c>
      <c r="CV35" t="s">
        <v>140</v>
      </c>
      <c r="CW35" t="s">
        <v>140</v>
      </c>
      <c r="CX35" t="s">
        <v>140</v>
      </c>
      <c r="CY35" t="s">
        <v>140</v>
      </c>
      <c r="CZ35" t="s">
        <v>140</v>
      </c>
      <c r="DA35" t="s">
        <v>140</v>
      </c>
      <c r="DB35" t="s">
        <v>140</v>
      </c>
      <c r="DC35" s="1">
        <v>0</v>
      </c>
      <c r="DD35" s="1">
        <v>0</v>
      </c>
      <c r="DE35" s="1">
        <v>16.86</v>
      </c>
      <c r="DF35" s="1">
        <v>14.97</v>
      </c>
      <c r="DG35" s="1">
        <v>16.8</v>
      </c>
      <c r="DH35" s="1">
        <v>18.68</v>
      </c>
      <c r="DI35" s="1">
        <v>23</v>
      </c>
      <c r="DJ35" s="1">
        <v>24.35</v>
      </c>
      <c r="DK35" s="1">
        <v>24.7</v>
      </c>
      <c r="DL35" s="1">
        <v>28.9</v>
      </c>
      <c r="DM35" s="1">
        <v>36.75</v>
      </c>
      <c r="DN35" s="1">
        <v>42.3</v>
      </c>
      <c r="DO35" s="1">
        <v>38.049999999999997</v>
      </c>
      <c r="DP35" s="1">
        <v>38.15</v>
      </c>
      <c r="DQ35" s="1">
        <v>44.75</v>
      </c>
      <c r="DR35" s="1">
        <v>47.8</v>
      </c>
      <c r="DS35" s="1">
        <v>42.5</v>
      </c>
      <c r="DT35" s="1">
        <v>46</v>
      </c>
      <c r="DU35" s="1">
        <v>57</v>
      </c>
      <c r="DV35" s="1">
        <v>54.45</v>
      </c>
      <c r="DW35" s="1">
        <v>63.3</v>
      </c>
      <c r="DX35" s="1">
        <v>67</v>
      </c>
      <c r="DY35" s="1">
        <v>77.05</v>
      </c>
      <c r="DZ35" s="1">
        <v>91.8</v>
      </c>
      <c r="EA35" s="1">
        <v>86.45</v>
      </c>
      <c r="EB35" s="1">
        <v>65.7</v>
      </c>
      <c r="EC35" s="1">
        <v>63</v>
      </c>
      <c r="ED35" s="1">
        <v>70.8</v>
      </c>
    </row>
    <row r="36" spans="1:134" x14ac:dyDescent="0.25">
      <c r="A36" t="s">
        <v>156</v>
      </c>
      <c r="B36" s="1">
        <v>31.790000000000003</v>
      </c>
      <c r="C36" s="1">
        <v>16.309999999999999</v>
      </c>
      <c r="D36" s="1">
        <v>29.18</v>
      </c>
      <c r="E36" s="1">
        <v>19.439999999999998</v>
      </c>
      <c r="F36" s="1">
        <v>25.39</v>
      </c>
      <c r="G36" s="1">
        <v>13.28</v>
      </c>
      <c r="H36" s="1">
        <v>13.34</v>
      </c>
      <c r="I36" s="1">
        <v>30.15</v>
      </c>
      <c r="J36" s="1">
        <v>11.07</v>
      </c>
      <c r="K36" s="1">
        <v>-9.83</v>
      </c>
      <c r="L36" s="1">
        <v>0.74</v>
      </c>
      <c r="M36" s="1">
        <v>0.75</v>
      </c>
      <c r="N36" t="s">
        <v>141</v>
      </c>
      <c r="O36" t="s">
        <v>140</v>
      </c>
      <c r="P36" t="s">
        <v>140</v>
      </c>
      <c r="Q36" t="s">
        <v>140</v>
      </c>
      <c r="R36" t="s">
        <v>140</v>
      </c>
      <c r="S36" t="s">
        <v>140</v>
      </c>
      <c r="T36" t="s">
        <v>140</v>
      </c>
      <c r="U36" t="s">
        <v>140</v>
      </c>
      <c r="V36" t="s">
        <v>140</v>
      </c>
      <c r="W36" t="s">
        <v>140</v>
      </c>
      <c r="X36" t="s">
        <v>140</v>
      </c>
      <c r="Y36" t="s">
        <v>140</v>
      </c>
      <c r="Z36" t="s">
        <v>140</v>
      </c>
      <c r="AA36" t="s">
        <v>140</v>
      </c>
      <c r="AB36" t="s">
        <v>140</v>
      </c>
      <c r="AC36" t="s">
        <v>140</v>
      </c>
      <c r="AD36" t="s">
        <v>140</v>
      </c>
      <c r="AE36" t="s">
        <v>140</v>
      </c>
      <c r="AF36" t="s">
        <v>140</v>
      </c>
      <c r="AG36" t="s">
        <v>140</v>
      </c>
      <c r="AH36" t="s">
        <v>140</v>
      </c>
      <c r="AI36" t="s">
        <v>140</v>
      </c>
      <c r="AJ36" t="s">
        <v>140</v>
      </c>
      <c r="AK36" t="s">
        <v>140</v>
      </c>
      <c r="AL36" t="s">
        <v>140</v>
      </c>
      <c r="AM36" t="s">
        <v>140</v>
      </c>
      <c r="AN36" t="s">
        <v>140</v>
      </c>
      <c r="AO36" t="s">
        <v>140</v>
      </c>
      <c r="AP36" t="s">
        <v>140</v>
      </c>
      <c r="AQ36" t="s">
        <v>140</v>
      </c>
      <c r="AR36" t="s">
        <v>140</v>
      </c>
      <c r="AS36" t="s">
        <v>140</v>
      </c>
      <c r="AT36" t="s">
        <v>140</v>
      </c>
      <c r="AU36" t="s">
        <v>140</v>
      </c>
      <c r="AV36" t="s">
        <v>140</v>
      </c>
      <c r="AW36" t="s">
        <v>140</v>
      </c>
      <c r="AX36" t="s">
        <v>140</v>
      </c>
      <c r="AY36" t="s">
        <v>140</v>
      </c>
      <c r="AZ36" t="s">
        <v>140</v>
      </c>
      <c r="BA36" t="s">
        <v>140</v>
      </c>
      <c r="BB36" t="s">
        <v>140</v>
      </c>
      <c r="BC36" t="s">
        <v>140</v>
      </c>
      <c r="BD36" t="s">
        <v>140</v>
      </c>
      <c r="BE36" t="s">
        <v>140</v>
      </c>
      <c r="BF36" t="s">
        <v>140</v>
      </c>
      <c r="BG36" t="s">
        <v>140</v>
      </c>
      <c r="BH36" t="s">
        <v>140</v>
      </c>
      <c r="BI36" t="s">
        <v>140</v>
      </c>
      <c r="BJ36" t="s">
        <v>140</v>
      </c>
      <c r="BK36" t="s">
        <v>140</v>
      </c>
      <c r="BL36" t="s">
        <v>140</v>
      </c>
      <c r="BM36" t="s">
        <v>140</v>
      </c>
      <c r="BN36" t="s">
        <v>140</v>
      </c>
      <c r="BO36" t="s">
        <v>140</v>
      </c>
      <c r="BP36" t="s">
        <v>140</v>
      </c>
      <c r="BQ36" t="s">
        <v>140</v>
      </c>
      <c r="BR36" t="s">
        <v>140</v>
      </c>
      <c r="BS36" t="s">
        <v>140</v>
      </c>
      <c r="BT36" t="s">
        <v>140</v>
      </c>
      <c r="BU36" t="s">
        <v>140</v>
      </c>
      <c r="BV36" t="s">
        <v>140</v>
      </c>
      <c r="BW36" t="s">
        <v>140</v>
      </c>
      <c r="BX36" t="s">
        <v>140</v>
      </c>
      <c r="BY36" t="s">
        <v>140</v>
      </c>
      <c r="BZ36" t="s">
        <v>140</v>
      </c>
      <c r="CA36" t="s">
        <v>140</v>
      </c>
      <c r="CB36" t="s">
        <v>140</v>
      </c>
      <c r="CC36" t="s">
        <v>140</v>
      </c>
      <c r="CD36" t="s">
        <v>140</v>
      </c>
      <c r="CE36" t="s">
        <v>140</v>
      </c>
      <c r="CF36" t="s">
        <v>140</v>
      </c>
      <c r="CG36" t="s">
        <v>140</v>
      </c>
      <c r="CH36" t="s">
        <v>140</v>
      </c>
      <c r="CI36" t="s">
        <v>140</v>
      </c>
      <c r="CJ36" t="s">
        <v>140</v>
      </c>
      <c r="CK36" t="s">
        <v>140</v>
      </c>
      <c r="CL36" t="s">
        <v>140</v>
      </c>
      <c r="CM36" t="s">
        <v>140</v>
      </c>
      <c r="CN36" t="s">
        <v>140</v>
      </c>
      <c r="CO36" t="s">
        <v>140</v>
      </c>
      <c r="CP36" t="s">
        <v>140</v>
      </c>
      <c r="CQ36" t="s">
        <v>140</v>
      </c>
      <c r="CR36" t="s">
        <v>140</v>
      </c>
      <c r="CS36" t="s">
        <v>140</v>
      </c>
      <c r="CT36" t="s">
        <v>140</v>
      </c>
      <c r="CU36" t="s">
        <v>140</v>
      </c>
      <c r="CV36" t="s">
        <v>140</v>
      </c>
      <c r="CW36" t="s">
        <v>140</v>
      </c>
      <c r="CX36" t="s">
        <v>140</v>
      </c>
      <c r="CY36" t="s">
        <v>140</v>
      </c>
      <c r="CZ36" t="s">
        <v>140</v>
      </c>
      <c r="DA36" t="s">
        <v>140</v>
      </c>
      <c r="DB36" t="s">
        <v>140</v>
      </c>
      <c r="DC36" s="1">
        <v>0</v>
      </c>
      <c r="DD36" s="1">
        <v>0</v>
      </c>
      <c r="DE36" s="1">
        <v>0</v>
      </c>
      <c r="DF36" s="1">
        <v>0</v>
      </c>
      <c r="DG36" s="1">
        <v>30</v>
      </c>
      <c r="DH36" s="1">
        <v>36.950000000000003</v>
      </c>
      <c r="DI36" s="1">
        <v>21.47</v>
      </c>
      <c r="DJ36" s="1">
        <v>44.940000000000005</v>
      </c>
      <c r="DK36" s="1">
        <v>16.489999999999998</v>
      </c>
      <c r="DL36" s="1">
        <v>16.16</v>
      </c>
      <c r="DM36" s="1">
        <v>25.290000000000003</v>
      </c>
      <c r="DN36" s="1">
        <v>33.269999999999996</v>
      </c>
      <c r="DO36" s="1">
        <v>16.689999999999998</v>
      </c>
      <c r="DP36" s="1">
        <v>22.21</v>
      </c>
      <c r="DQ36" s="1">
        <v>32.92</v>
      </c>
      <c r="DR36" s="1">
        <v>17.84</v>
      </c>
      <c r="DS36" s="1">
        <v>13.33</v>
      </c>
      <c r="DT36" s="1">
        <v>13.28</v>
      </c>
      <c r="DU36" s="1">
        <v>9.26</v>
      </c>
      <c r="DV36" s="1">
        <v>17.54</v>
      </c>
      <c r="DW36" s="1">
        <v>16.98</v>
      </c>
      <c r="DX36" s="1">
        <v>43.69</v>
      </c>
      <c r="DY36" s="1">
        <v>10.280000000000001</v>
      </c>
      <c r="DZ36" s="1">
        <v>12.030000000000001</v>
      </c>
      <c r="EA36" s="1">
        <v>7.12</v>
      </c>
      <c r="EB36" s="1">
        <v>-27.3</v>
      </c>
      <c r="EC36" s="1">
        <v>-5.2200000000000006</v>
      </c>
      <c r="ED36" s="1">
        <v>6.75</v>
      </c>
    </row>
    <row r="37" spans="1:134" x14ac:dyDescent="0.25">
      <c r="A37" t="s">
        <v>157</v>
      </c>
      <c r="B37" s="1">
        <v>32.11</v>
      </c>
      <c r="C37" s="1">
        <v>15.68</v>
      </c>
      <c r="D37" s="1">
        <v>24.52</v>
      </c>
      <c r="E37" s="1">
        <v>21.36</v>
      </c>
      <c r="F37" s="1">
        <v>27.3</v>
      </c>
      <c r="G37" s="1">
        <v>16.399999999999999</v>
      </c>
      <c r="H37" s="1">
        <v>15.33</v>
      </c>
      <c r="I37" s="1">
        <v>37.22</v>
      </c>
      <c r="J37" s="1">
        <v>10.75</v>
      </c>
      <c r="K37" s="1">
        <v>-11.56</v>
      </c>
      <c r="L37" s="1">
        <v>0.8</v>
      </c>
      <c r="M37" s="1">
        <v>0.84</v>
      </c>
      <c r="N37" t="s">
        <v>141</v>
      </c>
      <c r="O37" t="s">
        <v>140</v>
      </c>
      <c r="P37" t="s">
        <v>140</v>
      </c>
      <c r="Q37" t="s">
        <v>140</v>
      </c>
      <c r="R37" t="s">
        <v>140</v>
      </c>
      <c r="S37" t="s">
        <v>140</v>
      </c>
      <c r="T37" t="s">
        <v>140</v>
      </c>
      <c r="U37" t="s">
        <v>140</v>
      </c>
      <c r="V37" t="s">
        <v>140</v>
      </c>
      <c r="W37" t="s">
        <v>140</v>
      </c>
      <c r="X37" t="s">
        <v>140</v>
      </c>
      <c r="Y37" t="s">
        <v>140</v>
      </c>
      <c r="Z37" t="s">
        <v>140</v>
      </c>
      <c r="AA37" t="s">
        <v>140</v>
      </c>
      <c r="AB37" t="s">
        <v>140</v>
      </c>
      <c r="AC37" t="s">
        <v>140</v>
      </c>
      <c r="AD37" t="s">
        <v>140</v>
      </c>
      <c r="AE37" t="s">
        <v>140</v>
      </c>
      <c r="AF37" t="s">
        <v>140</v>
      </c>
      <c r="AG37" t="s">
        <v>140</v>
      </c>
      <c r="AH37" t="s">
        <v>140</v>
      </c>
      <c r="AI37" t="s">
        <v>140</v>
      </c>
      <c r="AJ37" t="s">
        <v>140</v>
      </c>
      <c r="AK37" t="s">
        <v>140</v>
      </c>
      <c r="AL37" t="s">
        <v>140</v>
      </c>
      <c r="AM37" t="s">
        <v>140</v>
      </c>
      <c r="AN37" t="s">
        <v>140</v>
      </c>
      <c r="AO37" t="s">
        <v>140</v>
      </c>
      <c r="AP37" t="s">
        <v>140</v>
      </c>
      <c r="AQ37" t="s">
        <v>140</v>
      </c>
      <c r="AR37" t="s">
        <v>140</v>
      </c>
      <c r="AS37" t="s">
        <v>140</v>
      </c>
      <c r="AT37" t="s">
        <v>140</v>
      </c>
      <c r="AU37" t="s">
        <v>140</v>
      </c>
      <c r="AV37" t="s">
        <v>140</v>
      </c>
      <c r="AW37" t="s">
        <v>140</v>
      </c>
      <c r="AX37" t="s">
        <v>140</v>
      </c>
      <c r="AY37" t="s">
        <v>140</v>
      </c>
      <c r="AZ37" t="s">
        <v>140</v>
      </c>
      <c r="BA37" t="s">
        <v>140</v>
      </c>
      <c r="BB37" t="s">
        <v>140</v>
      </c>
      <c r="BC37" t="s">
        <v>140</v>
      </c>
      <c r="BD37" t="s">
        <v>140</v>
      </c>
      <c r="BE37" t="s">
        <v>140</v>
      </c>
      <c r="BF37" t="s">
        <v>140</v>
      </c>
      <c r="BG37" t="s">
        <v>140</v>
      </c>
      <c r="BH37" t="s">
        <v>140</v>
      </c>
      <c r="BI37" t="s">
        <v>140</v>
      </c>
      <c r="BJ37" t="s">
        <v>140</v>
      </c>
      <c r="BK37" t="s">
        <v>140</v>
      </c>
      <c r="BL37" t="s">
        <v>140</v>
      </c>
      <c r="BM37" t="s">
        <v>140</v>
      </c>
      <c r="BN37" t="s">
        <v>140</v>
      </c>
      <c r="BO37" t="s">
        <v>140</v>
      </c>
      <c r="BP37" t="s">
        <v>140</v>
      </c>
      <c r="BQ37" t="s">
        <v>140</v>
      </c>
      <c r="BR37" t="s">
        <v>140</v>
      </c>
      <c r="BS37" t="s">
        <v>140</v>
      </c>
      <c r="BT37" t="s">
        <v>140</v>
      </c>
      <c r="BU37" t="s">
        <v>140</v>
      </c>
      <c r="BV37" t="s">
        <v>140</v>
      </c>
      <c r="BW37" t="s">
        <v>140</v>
      </c>
      <c r="BX37" t="s">
        <v>140</v>
      </c>
      <c r="BY37" t="s">
        <v>140</v>
      </c>
      <c r="BZ37" t="s">
        <v>140</v>
      </c>
      <c r="CA37" t="s">
        <v>140</v>
      </c>
      <c r="CB37" t="s">
        <v>140</v>
      </c>
      <c r="CC37" t="s">
        <v>140</v>
      </c>
      <c r="CD37" t="s">
        <v>140</v>
      </c>
      <c r="CE37" t="s">
        <v>140</v>
      </c>
      <c r="CF37" t="s">
        <v>140</v>
      </c>
      <c r="CG37" t="s">
        <v>140</v>
      </c>
      <c r="CH37" t="s">
        <v>140</v>
      </c>
      <c r="CI37" t="s">
        <v>140</v>
      </c>
      <c r="CJ37" t="s">
        <v>140</v>
      </c>
      <c r="CK37" t="s">
        <v>140</v>
      </c>
      <c r="CL37" t="s">
        <v>140</v>
      </c>
      <c r="CM37" t="s">
        <v>140</v>
      </c>
      <c r="CN37" t="s">
        <v>140</v>
      </c>
      <c r="CO37" t="s">
        <v>140</v>
      </c>
      <c r="CP37" t="s">
        <v>140</v>
      </c>
      <c r="CQ37" t="s">
        <v>140</v>
      </c>
      <c r="CR37" t="s">
        <v>140</v>
      </c>
      <c r="CS37" t="s">
        <v>140</v>
      </c>
      <c r="CT37" t="s">
        <v>140</v>
      </c>
      <c r="CU37" t="s">
        <v>140</v>
      </c>
      <c r="CV37" t="s">
        <v>140</v>
      </c>
      <c r="CW37" t="s">
        <v>140</v>
      </c>
      <c r="CX37" t="s">
        <v>140</v>
      </c>
      <c r="CY37" t="s">
        <v>140</v>
      </c>
      <c r="CZ37" t="s">
        <v>140</v>
      </c>
      <c r="DA37" t="s">
        <v>140</v>
      </c>
      <c r="DB37" t="s">
        <v>140</v>
      </c>
      <c r="DC37" s="1">
        <v>0</v>
      </c>
      <c r="DD37" s="1">
        <v>0</v>
      </c>
      <c r="DE37" s="1">
        <v>0</v>
      </c>
      <c r="DF37" s="1">
        <v>0</v>
      </c>
      <c r="DG37" s="1">
        <v>0</v>
      </c>
      <c r="DH37" s="1">
        <v>36.229999999999997</v>
      </c>
      <c r="DI37" s="1">
        <v>17.46</v>
      </c>
      <c r="DJ37" s="1">
        <v>45.39</v>
      </c>
      <c r="DK37" s="1">
        <v>17.54</v>
      </c>
      <c r="DL37" s="1">
        <v>15.54</v>
      </c>
      <c r="DM37" s="1">
        <v>21.25</v>
      </c>
      <c r="DN37" s="1">
        <v>27.96</v>
      </c>
      <c r="DO37" s="1">
        <v>16.690000000000001</v>
      </c>
      <c r="DP37" s="1">
        <v>24.41</v>
      </c>
      <c r="DQ37" s="1">
        <v>35.4</v>
      </c>
      <c r="DR37" s="1">
        <v>19.18</v>
      </c>
      <c r="DS37" s="1">
        <v>17.09</v>
      </c>
      <c r="DT37" s="1">
        <v>16.399999999999999</v>
      </c>
      <c r="DU37" s="1">
        <v>9.4499999999999993</v>
      </c>
      <c r="DV37" s="1">
        <v>20.16</v>
      </c>
      <c r="DW37" s="1">
        <v>18.059999999999999</v>
      </c>
      <c r="DX37" s="1">
        <v>53.94</v>
      </c>
      <c r="DY37" s="1">
        <v>11.42</v>
      </c>
      <c r="DZ37" s="1">
        <v>11.68</v>
      </c>
      <c r="EA37" s="1">
        <v>7.49</v>
      </c>
      <c r="EB37" s="1">
        <v>-32.119999999999997</v>
      </c>
      <c r="EC37" s="1">
        <v>-6.21</v>
      </c>
      <c r="ED37" s="1">
        <v>7.26</v>
      </c>
    </row>
    <row r="38" spans="1:134" x14ac:dyDescent="0.25">
      <c r="A38" t="s">
        <v>158</v>
      </c>
      <c r="B38" s="1">
        <v>24.65</v>
      </c>
      <c r="C38" s="1">
        <v>12.98</v>
      </c>
      <c r="D38" s="1">
        <v>23.580000000000002</v>
      </c>
      <c r="E38" s="1">
        <v>16.259999999999998</v>
      </c>
      <c r="F38" s="1">
        <v>21.22</v>
      </c>
      <c r="G38" s="1">
        <v>10.63</v>
      </c>
      <c r="H38" s="1">
        <v>10.440000000000001</v>
      </c>
      <c r="I38" s="1">
        <v>24.349999999999998</v>
      </c>
      <c r="J38" s="1">
        <v>9.17</v>
      </c>
      <c r="K38" s="1">
        <v>-7.88</v>
      </c>
      <c r="L38" s="1">
        <v>0.57000000000000006</v>
      </c>
      <c r="M38" s="1">
        <v>0.57000000000000006</v>
      </c>
      <c r="N38" t="s">
        <v>141</v>
      </c>
      <c r="O38" t="s">
        <v>140</v>
      </c>
      <c r="P38" t="s">
        <v>140</v>
      </c>
      <c r="Q38" t="s">
        <v>140</v>
      </c>
      <c r="R38" t="s">
        <v>140</v>
      </c>
      <c r="S38" t="s">
        <v>140</v>
      </c>
      <c r="T38" t="s">
        <v>140</v>
      </c>
      <c r="U38" t="s">
        <v>140</v>
      </c>
      <c r="V38" t="s">
        <v>140</v>
      </c>
      <c r="W38" t="s">
        <v>140</v>
      </c>
      <c r="X38" t="s">
        <v>140</v>
      </c>
      <c r="Y38" t="s">
        <v>140</v>
      </c>
      <c r="Z38" t="s">
        <v>140</v>
      </c>
      <c r="AA38" t="s">
        <v>140</v>
      </c>
      <c r="AB38" t="s">
        <v>140</v>
      </c>
      <c r="AC38" t="s">
        <v>140</v>
      </c>
      <c r="AD38" t="s">
        <v>140</v>
      </c>
      <c r="AE38" t="s">
        <v>140</v>
      </c>
      <c r="AF38" t="s">
        <v>140</v>
      </c>
      <c r="AG38" t="s">
        <v>140</v>
      </c>
      <c r="AH38" t="s">
        <v>140</v>
      </c>
      <c r="AI38" t="s">
        <v>140</v>
      </c>
      <c r="AJ38" t="s">
        <v>140</v>
      </c>
      <c r="AK38" t="s">
        <v>140</v>
      </c>
      <c r="AL38" t="s">
        <v>140</v>
      </c>
      <c r="AM38" t="s">
        <v>140</v>
      </c>
      <c r="AN38" t="s">
        <v>140</v>
      </c>
      <c r="AO38" t="s">
        <v>140</v>
      </c>
      <c r="AP38" t="s">
        <v>140</v>
      </c>
      <c r="AQ38" t="s">
        <v>140</v>
      </c>
      <c r="AR38" t="s">
        <v>140</v>
      </c>
      <c r="AS38" t="s">
        <v>140</v>
      </c>
      <c r="AT38" t="s">
        <v>140</v>
      </c>
      <c r="AU38" t="s">
        <v>140</v>
      </c>
      <c r="AV38" t="s">
        <v>140</v>
      </c>
      <c r="AW38" t="s">
        <v>140</v>
      </c>
      <c r="AX38" t="s">
        <v>140</v>
      </c>
      <c r="AY38" t="s">
        <v>140</v>
      </c>
      <c r="AZ38" t="s">
        <v>140</v>
      </c>
      <c r="BA38" t="s">
        <v>140</v>
      </c>
      <c r="BB38" t="s">
        <v>140</v>
      </c>
      <c r="BC38" t="s">
        <v>140</v>
      </c>
      <c r="BD38" t="s">
        <v>140</v>
      </c>
      <c r="BE38" t="s">
        <v>140</v>
      </c>
      <c r="BF38" t="s">
        <v>140</v>
      </c>
      <c r="BG38" t="s">
        <v>140</v>
      </c>
      <c r="BH38" t="s">
        <v>140</v>
      </c>
      <c r="BI38" t="s">
        <v>140</v>
      </c>
      <c r="BJ38" t="s">
        <v>140</v>
      </c>
      <c r="BK38" t="s">
        <v>140</v>
      </c>
      <c r="BL38" t="s">
        <v>140</v>
      </c>
      <c r="BM38" t="s">
        <v>140</v>
      </c>
      <c r="BN38" t="s">
        <v>140</v>
      </c>
      <c r="BO38" t="s">
        <v>140</v>
      </c>
      <c r="BP38" t="s">
        <v>140</v>
      </c>
      <c r="BQ38" t="s">
        <v>140</v>
      </c>
      <c r="BR38" t="s">
        <v>140</v>
      </c>
      <c r="BS38" t="s">
        <v>140</v>
      </c>
      <c r="BT38" t="s">
        <v>140</v>
      </c>
      <c r="BU38" t="s">
        <v>140</v>
      </c>
      <c r="BV38" t="s">
        <v>140</v>
      </c>
      <c r="BW38" t="s">
        <v>140</v>
      </c>
      <c r="BX38" t="s">
        <v>140</v>
      </c>
      <c r="BY38" t="s">
        <v>140</v>
      </c>
      <c r="BZ38" t="s">
        <v>140</v>
      </c>
      <c r="CA38" t="s">
        <v>140</v>
      </c>
      <c r="CB38" t="s">
        <v>140</v>
      </c>
      <c r="CC38" t="s">
        <v>140</v>
      </c>
      <c r="CD38" t="s">
        <v>140</v>
      </c>
      <c r="CE38" t="s">
        <v>140</v>
      </c>
      <c r="CF38" t="s">
        <v>140</v>
      </c>
      <c r="CG38" t="s">
        <v>140</v>
      </c>
      <c r="CH38" t="s">
        <v>140</v>
      </c>
      <c r="CI38" t="s">
        <v>140</v>
      </c>
      <c r="CJ38" t="s">
        <v>140</v>
      </c>
      <c r="CK38" t="s">
        <v>140</v>
      </c>
      <c r="CL38" t="s">
        <v>140</v>
      </c>
      <c r="CM38" t="s">
        <v>140</v>
      </c>
      <c r="CN38" t="s">
        <v>140</v>
      </c>
      <c r="CO38" t="s">
        <v>140</v>
      </c>
      <c r="CP38" t="s">
        <v>140</v>
      </c>
      <c r="CQ38" t="s">
        <v>140</v>
      </c>
      <c r="CR38" t="s">
        <v>140</v>
      </c>
      <c r="CS38" t="s">
        <v>140</v>
      </c>
      <c r="CT38" t="s">
        <v>140</v>
      </c>
      <c r="CU38" t="s">
        <v>140</v>
      </c>
      <c r="CV38" t="s">
        <v>140</v>
      </c>
      <c r="CW38" t="s">
        <v>140</v>
      </c>
      <c r="CX38" t="s">
        <v>140</v>
      </c>
      <c r="CY38" t="s">
        <v>140</v>
      </c>
      <c r="CZ38" t="s">
        <v>140</v>
      </c>
      <c r="DA38" t="s">
        <v>140</v>
      </c>
      <c r="DB38" t="s">
        <v>140</v>
      </c>
      <c r="DC38" s="1">
        <v>0</v>
      </c>
      <c r="DD38" s="1">
        <v>0</v>
      </c>
      <c r="DE38" s="1">
        <v>0</v>
      </c>
      <c r="DF38" s="1">
        <v>0</v>
      </c>
      <c r="DG38" s="1">
        <v>18</v>
      </c>
      <c r="DH38" s="1">
        <v>27.529999999999998</v>
      </c>
      <c r="DI38" s="1">
        <v>15.07</v>
      </c>
      <c r="DJ38" s="1">
        <v>33.019999999999996</v>
      </c>
      <c r="DK38" s="1">
        <v>13.059999999999999</v>
      </c>
      <c r="DL38" s="1">
        <v>12.740000000000002</v>
      </c>
      <c r="DM38" s="1">
        <v>20.200000000000003</v>
      </c>
      <c r="DN38" s="1">
        <v>27.07</v>
      </c>
      <c r="DO38" s="1">
        <v>13.889999999999999</v>
      </c>
      <c r="DP38" s="1">
        <v>18.790000000000003</v>
      </c>
      <c r="DQ38" s="1">
        <v>27.99</v>
      </c>
      <c r="DR38" s="1">
        <v>14.940000000000001</v>
      </c>
      <c r="DS38" s="1">
        <v>10.66</v>
      </c>
      <c r="DT38" s="1">
        <v>10.33</v>
      </c>
      <c r="DU38" s="1">
        <v>7.16</v>
      </c>
      <c r="DV38" s="1">
        <v>13.62</v>
      </c>
      <c r="DW38" s="1">
        <v>13.200000000000001</v>
      </c>
      <c r="DX38" s="1">
        <v>34.910000000000004</v>
      </c>
      <c r="DY38" s="1">
        <v>8.5500000000000007</v>
      </c>
      <c r="DZ38" s="1">
        <v>10.040000000000001</v>
      </c>
      <c r="EA38" s="1">
        <v>5.88</v>
      </c>
      <c r="EB38" s="1">
        <v>-21.72</v>
      </c>
      <c r="EC38" s="1">
        <v>-3.9899999999999998</v>
      </c>
      <c r="ED38" s="1">
        <v>5.1100000000000003</v>
      </c>
    </row>
    <row r="39" spans="1:134" x14ac:dyDescent="0.25">
      <c r="A39" t="s">
        <v>159</v>
      </c>
      <c r="B39" s="1">
        <v>31.979999999999997</v>
      </c>
      <c r="C39" s="1">
        <v>16.400000000000002</v>
      </c>
      <c r="D39" s="1">
        <v>29.310000000000002</v>
      </c>
      <c r="E39" s="1">
        <v>19.52</v>
      </c>
      <c r="F39" s="1">
        <v>25.480000000000004</v>
      </c>
      <c r="G39" s="1">
        <v>13.320000000000002</v>
      </c>
      <c r="H39" s="1">
        <v>13.38</v>
      </c>
      <c r="I39" s="1">
        <v>30.23</v>
      </c>
      <c r="J39" s="1">
        <v>11.09</v>
      </c>
      <c r="K39" s="1">
        <v>-9.85</v>
      </c>
      <c r="L39" s="1">
        <v>0.75</v>
      </c>
      <c r="M39" s="1">
        <v>0.75</v>
      </c>
      <c r="N39" t="s">
        <v>141</v>
      </c>
      <c r="O39" t="s">
        <v>140</v>
      </c>
      <c r="P39" t="s">
        <v>140</v>
      </c>
      <c r="Q39" t="s">
        <v>140</v>
      </c>
      <c r="R39" t="s">
        <v>140</v>
      </c>
      <c r="S39" t="s">
        <v>140</v>
      </c>
      <c r="T39" t="s">
        <v>140</v>
      </c>
      <c r="U39" t="s">
        <v>140</v>
      </c>
      <c r="V39" t="s">
        <v>140</v>
      </c>
      <c r="W39" t="s">
        <v>140</v>
      </c>
      <c r="X39" t="s">
        <v>140</v>
      </c>
      <c r="Y39" t="s">
        <v>140</v>
      </c>
      <c r="Z39" t="s">
        <v>140</v>
      </c>
      <c r="AA39" t="s">
        <v>140</v>
      </c>
      <c r="AB39" t="s">
        <v>140</v>
      </c>
      <c r="AC39" t="s">
        <v>140</v>
      </c>
      <c r="AD39" t="s">
        <v>140</v>
      </c>
      <c r="AE39" t="s">
        <v>140</v>
      </c>
      <c r="AF39" t="s">
        <v>140</v>
      </c>
      <c r="AG39" t="s">
        <v>140</v>
      </c>
      <c r="AH39" t="s">
        <v>140</v>
      </c>
      <c r="AI39" t="s">
        <v>140</v>
      </c>
      <c r="AJ39" t="s">
        <v>140</v>
      </c>
      <c r="AK39" t="s">
        <v>140</v>
      </c>
      <c r="AL39" t="s">
        <v>140</v>
      </c>
      <c r="AM39" t="s">
        <v>140</v>
      </c>
      <c r="AN39" t="s">
        <v>140</v>
      </c>
      <c r="AO39" t="s">
        <v>140</v>
      </c>
      <c r="AP39" t="s">
        <v>140</v>
      </c>
      <c r="AQ39" t="s">
        <v>140</v>
      </c>
      <c r="AR39" t="s">
        <v>140</v>
      </c>
      <c r="AS39" t="s">
        <v>140</v>
      </c>
      <c r="AT39" t="s">
        <v>140</v>
      </c>
      <c r="AU39" t="s">
        <v>140</v>
      </c>
      <c r="AV39" t="s">
        <v>140</v>
      </c>
      <c r="AW39" t="s">
        <v>140</v>
      </c>
      <c r="AX39" t="s">
        <v>140</v>
      </c>
      <c r="AY39" t="s">
        <v>140</v>
      </c>
      <c r="AZ39" t="s">
        <v>140</v>
      </c>
      <c r="BA39" t="s">
        <v>140</v>
      </c>
      <c r="BB39" t="s">
        <v>140</v>
      </c>
      <c r="BC39" t="s">
        <v>140</v>
      </c>
      <c r="BD39" t="s">
        <v>140</v>
      </c>
      <c r="BE39" t="s">
        <v>140</v>
      </c>
      <c r="BF39" t="s">
        <v>140</v>
      </c>
      <c r="BG39" t="s">
        <v>140</v>
      </c>
      <c r="BH39" t="s">
        <v>140</v>
      </c>
      <c r="BI39" t="s">
        <v>140</v>
      </c>
      <c r="BJ39" t="s">
        <v>140</v>
      </c>
      <c r="BK39" t="s">
        <v>140</v>
      </c>
      <c r="BL39" t="s">
        <v>140</v>
      </c>
      <c r="BM39" t="s">
        <v>140</v>
      </c>
      <c r="BN39" t="s">
        <v>140</v>
      </c>
      <c r="BO39" t="s">
        <v>140</v>
      </c>
      <c r="BP39" t="s">
        <v>140</v>
      </c>
      <c r="BQ39" t="s">
        <v>140</v>
      </c>
      <c r="BR39" t="s">
        <v>140</v>
      </c>
      <c r="BS39" t="s">
        <v>140</v>
      </c>
      <c r="BT39" t="s">
        <v>140</v>
      </c>
      <c r="BU39" t="s">
        <v>140</v>
      </c>
      <c r="BV39" t="s">
        <v>140</v>
      </c>
      <c r="BW39" t="s">
        <v>140</v>
      </c>
      <c r="BX39" t="s">
        <v>140</v>
      </c>
      <c r="BY39" t="s">
        <v>140</v>
      </c>
      <c r="BZ39" t="s">
        <v>140</v>
      </c>
      <c r="CA39" t="s">
        <v>140</v>
      </c>
      <c r="CB39" t="s">
        <v>140</v>
      </c>
      <c r="CC39" t="s">
        <v>140</v>
      </c>
      <c r="CD39" t="s">
        <v>140</v>
      </c>
      <c r="CE39" t="s">
        <v>140</v>
      </c>
      <c r="CF39" t="s">
        <v>140</v>
      </c>
      <c r="CG39" t="s">
        <v>140</v>
      </c>
      <c r="CH39" t="s">
        <v>140</v>
      </c>
      <c r="CI39" t="s">
        <v>140</v>
      </c>
      <c r="CJ39" t="s">
        <v>140</v>
      </c>
      <c r="CK39" t="s">
        <v>140</v>
      </c>
      <c r="CL39" t="s">
        <v>140</v>
      </c>
      <c r="CM39" t="s">
        <v>140</v>
      </c>
      <c r="CN39" t="s">
        <v>140</v>
      </c>
      <c r="CO39" t="s">
        <v>140</v>
      </c>
      <c r="CP39" t="s">
        <v>140</v>
      </c>
      <c r="CQ39" t="s">
        <v>140</v>
      </c>
      <c r="CR39" t="s">
        <v>140</v>
      </c>
      <c r="CS39" t="s">
        <v>140</v>
      </c>
      <c r="CT39" t="s">
        <v>140</v>
      </c>
      <c r="CU39" t="s">
        <v>140</v>
      </c>
      <c r="CV39" t="s">
        <v>140</v>
      </c>
      <c r="CW39" t="s">
        <v>140</v>
      </c>
      <c r="CX39" t="s">
        <v>140</v>
      </c>
      <c r="CY39" t="s">
        <v>140</v>
      </c>
      <c r="CZ39" t="s">
        <v>140</v>
      </c>
      <c r="DA39" t="s">
        <v>140</v>
      </c>
      <c r="DB39" t="s">
        <v>140</v>
      </c>
      <c r="DC39" s="1">
        <v>0</v>
      </c>
      <c r="DD39" s="1">
        <v>0</v>
      </c>
      <c r="DE39" s="1">
        <v>0</v>
      </c>
      <c r="DF39" s="1">
        <v>0</v>
      </c>
      <c r="DG39" s="1">
        <v>34.74</v>
      </c>
      <c r="DH39" s="1">
        <v>37.21</v>
      </c>
      <c r="DI39" s="1">
        <v>22.64</v>
      </c>
      <c r="DJ39" s="1">
        <v>47.02</v>
      </c>
      <c r="DK39" s="1">
        <v>16.580000000000002</v>
      </c>
      <c r="DL39" s="1">
        <v>16.25</v>
      </c>
      <c r="DM39" s="1">
        <v>25.41</v>
      </c>
      <c r="DN39" s="1">
        <v>33.42</v>
      </c>
      <c r="DO39" s="1">
        <v>16.760000000000002</v>
      </c>
      <c r="DP39" s="1">
        <v>22.29</v>
      </c>
      <c r="DQ39" s="1">
        <v>33.03</v>
      </c>
      <c r="DR39" s="1">
        <v>17.899999999999999</v>
      </c>
      <c r="DS39" s="1">
        <v>13.38</v>
      </c>
      <c r="DT39" s="1">
        <v>13.33</v>
      </c>
      <c r="DU39" s="1">
        <v>9.2899999999999991</v>
      </c>
      <c r="DV39" s="1">
        <v>17.599999999999998</v>
      </c>
      <c r="DW39" s="1">
        <v>17.03</v>
      </c>
      <c r="DX39" s="1">
        <v>43.81</v>
      </c>
      <c r="DY39" s="1">
        <v>10.299999999999999</v>
      </c>
      <c r="DZ39" s="1">
        <v>12.06</v>
      </c>
      <c r="EA39" s="1">
        <v>7.1400000000000006</v>
      </c>
      <c r="EB39" s="1">
        <v>-27.37</v>
      </c>
      <c r="EC39" s="1">
        <v>-5.2299999999999995</v>
      </c>
      <c r="ED39" s="1">
        <v>6.77</v>
      </c>
    </row>
    <row r="40" spans="1:134" x14ac:dyDescent="0.25">
      <c r="A40" t="s">
        <v>160</v>
      </c>
      <c r="B40" s="1">
        <v>24.759999999999998</v>
      </c>
      <c r="C40" s="1">
        <v>13.03</v>
      </c>
      <c r="D40" s="1">
        <v>23.669999999999998</v>
      </c>
      <c r="E40" s="1">
        <v>16.309999999999999</v>
      </c>
      <c r="F40" s="1">
        <v>21.279999999999998</v>
      </c>
      <c r="G40" s="1">
        <v>10.66</v>
      </c>
      <c r="H40" s="1">
        <v>10.47</v>
      </c>
      <c r="I40" s="1">
        <v>24.4</v>
      </c>
      <c r="J40" s="1">
        <v>9.19</v>
      </c>
      <c r="K40" s="1">
        <v>-7.9</v>
      </c>
      <c r="L40" s="1">
        <v>0.57000000000000006</v>
      </c>
      <c r="M40" s="1">
        <v>0.57000000000000006</v>
      </c>
      <c r="N40" t="s">
        <v>141</v>
      </c>
      <c r="O40" t="s">
        <v>140</v>
      </c>
      <c r="P40" t="s">
        <v>140</v>
      </c>
      <c r="Q40" t="s">
        <v>140</v>
      </c>
      <c r="R40" t="s">
        <v>140</v>
      </c>
      <c r="S40" t="s">
        <v>140</v>
      </c>
      <c r="T40" t="s">
        <v>140</v>
      </c>
      <c r="U40" t="s">
        <v>140</v>
      </c>
      <c r="V40" t="s">
        <v>140</v>
      </c>
      <c r="W40" t="s">
        <v>140</v>
      </c>
      <c r="X40" t="s">
        <v>140</v>
      </c>
      <c r="Y40" t="s">
        <v>140</v>
      </c>
      <c r="Z40" t="s">
        <v>140</v>
      </c>
      <c r="AA40" t="s">
        <v>140</v>
      </c>
      <c r="AB40" t="s">
        <v>140</v>
      </c>
      <c r="AC40" t="s">
        <v>140</v>
      </c>
      <c r="AD40" t="s">
        <v>140</v>
      </c>
      <c r="AE40" t="s">
        <v>140</v>
      </c>
      <c r="AF40" t="s">
        <v>140</v>
      </c>
      <c r="AG40" t="s">
        <v>140</v>
      </c>
      <c r="AH40" t="s">
        <v>140</v>
      </c>
      <c r="AI40" t="s">
        <v>140</v>
      </c>
      <c r="AJ40" t="s">
        <v>140</v>
      </c>
      <c r="AK40" t="s">
        <v>140</v>
      </c>
      <c r="AL40" t="s">
        <v>140</v>
      </c>
      <c r="AM40" t="s">
        <v>140</v>
      </c>
      <c r="AN40" t="s">
        <v>140</v>
      </c>
      <c r="AO40" t="s">
        <v>140</v>
      </c>
      <c r="AP40" t="s">
        <v>140</v>
      </c>
      <c r="AQ40" t="s">
        <v>140</v>
      </c>
      <c r="AR40" t="s">
        <v>140</v>
      </c>
      <c r="AS40" t="s">
        <v>140</v>
      </c>
      <c r="AT40" t="s">
        <v>140</v>
      </c>
      <c r="AU40" t="s">
        <v>140</v>
      </c>
      <c r="AV40" t="s">
        <v>140</v>
      </c>
      <c r="AW40" t="s">
        <v>140</v>
      </c>
      <c r="AX40" t="s">
        <v>140</v>
      </c>
      <c r="AY40" t="s">
        <v>140</v>
      </c>
      <c r="AZ40" t="s">
        <v>140</v>
      </c>
      <c r="BA40" t="s">
        <v>140</v>
      </c>
      <c r="BB40" t="s">
        <v>140</v>
      </c>
      <c r="BC40" t="s">
        <v>140</v>
      </c>
      <c r="BD40" t="s">
        <v>140</v>
      </c>
      <c r="BE40" t="s">
        <v>140</v>
      </c>
      <c r="BF40" t="s">
        <v>140</v>
      </c>
      <c r="BG40" t="s">
        <v>140</v>
      </c>
      <c r="BH40" t="s">
        <v>140</v>
      </c>
      <c r="BI40" t="s">
        <v>140</v>
      </c>
      <c r="BJ40" t="s">
        <v>140</v>
      </c>
      <c r="BK40" t="s">
        <v>140</v>
      </c>
      <c r="BL40" t="s">
        <v>140</v>
      </c>
      <c r="BM40" t="s">
        <v>140</v>
      </c>
      <c r="BN40" t="s">
        <v>140</v>
      </c>
      <c r="BO40" t="s">
        <v>140</v>
      </c>
      <c r="BP40" t="s">
        <v>140</v>
      </c>
      <c r="BQ40" t="s">
        <v>140</v>
      </c>
      <c r="BR40" t="s">
        <v>140</v>
      </c>
      <c r="BS40" t="s">
        <v>140</v>
      </c>
      <c r="BT40" t="s">
        <v>140</v>
      </c>
      <c r="BU40" t="s">
        <v>140</v>
      </c>
      <c r="BV40" t="s">
        <v>140</v>
      </c>
      <c r="BW40" t="s">
        <v>140</v>
      </c>
      <c r="BX40" t="s">
        <v>140</v>
      </c>
      <c r="BY40" t="s">
        <v>140</v>
      </c>
      <c r="BZ40" t="s">
        <v>140</v>
      </c>
      <c r="CA40" t="s">
        <v>140</v>
      </c>
      <c r="CB40" t="s">
        <v>140</v>
      </c>
      <c r="CC40" t="s">
        <v>140</v>
      </c>
      <c r="CD40" t="s">
        <v>140</v>
      </c>
      <c r="CE40" t="s">
        <v>140</v>
      </c>
      <c r="CF40" t="s">
        <v>140</v>
      </c>
      <c r="CG40" t="s">
        <v>140</v>
      </c>
      <c r="CH40" t="s">
        <v>140</v>
      </c>
      <c r="CI40" t="s">
        <v>140</v>
      </c>
      <c r="CJ40" t="s">
        <v>140</v>
      </c>
      <c r="CK40" t="s">
        <v>140</v>
      </c>
      <c r="CL40" t="s">
        <v>140</v>
      </c>
      <c r="CM40" t="s">
        <v>140</v>
      </c>
      <c r="CN40" t="s">
        <v>140</v>
      </c>
      <c r="CO40" t="s">
        <v>140</v>
      </c>
      <c r="CP40" t="s">
        <v>140</v>
      </c>
      <c r="CQ40" t="s">
        <v>140</v>
      </c>
      <c r="CR40" t="s">
        <v>140</v>
      </c>
      <c r="CS40" t="s">
        <v>140</v>
      </c>
      <c r="CT40" t="s">
        <v>140</v>
      </c>
      <c r="CU40" t="s">
        <v>140</v>
      </c>
      <c r="CV40" t="s">
        <v>140</v>
      </c>
      <c r="CW40" t="s">
        <v>140</v>
      </c>
      <c r="CX40" t="s">
        <v>140</v>
      </c>
      <c r="CY40" t="s">
        <v>140</v>
      </c>
      <c r="CZ40" t="s">
        <v>140</v>
      </c>
      <c r="DA40" t="s">
        <v>140</v>
      </c>
      <c r="DB40" t="s">
        <v>140</v>
      </c>
      <c r="DC40" s="1">
        <v>0</v>
      </c>
      <c r="DD40" s="1">
        <v>0</v>
      </c>
      <c r="DE40" s="1">
        <v>0</v>
      </c>
      <c r="DF40" s="1">
        <v>0</v>
      </c>
      <c r="DG40" s="1">
        <v>19.600000000000001</v>
      </c>
      <c r="DH40" s="1">
        <v>27.67</v>
      </c>
      <c r="DI40" s="1">
        <v>15.64</v>
      </c>
      <c r="DJ40" s="1">
        <v>34.130000000000003</v>
      </c>
      <c r="DK40" s="1">
        <v>13.11</v>
      </c>
      <c r="DL40" s="1">
        <v>12.790000000000001</v>
      </c>
      <c r="DM40" s="1">
        <v>20.28</v>
      </c>
      <c r="DN40" s="1">
        <v>27.16</v>
      </c>
      <c r="DO40" s="1">
        <v>13.94</v>
      </c>
      <c r="DP40" s="1">
        <v>18.850000000000001</v>
      </c>
      <c r="DQ40" s="1">
        <v>28.07</v>
      </c>
      <c r="DR40" s="1">
        <v>14.979999999999999</v>
      </c>
      <c r="DS40" s="1">
        <v>10.69</v>
      </c>
      <c r="DT40" s="1">
        <v>10.36</v>
      </c>
      <c r="DU40" s="1">
        <v>7.1800000000000006</v>
      </c>
      <c r="DV40" s="1">
        <v>13.66</v>
      </c>
      <c r="DW40" s="1">
        <v>13.23</v>
      </c>
      <c r="DX40" s="1">
        <v>34.99</v>
      </c>
      <c r="DY40" s="1">
        <v>8.57</v>
      </c>
      <c r="DZ40" s="1">
        <v>10.059999999999999</v>
      </c>
      <c r="EA40" s="1">
        <v>5.89</v>
      </c>
      <c r="EB40" s="1">
        <v>-21.759999999999998</v>
      </c>
      <c r="EC40" s="1">
        <v>-3.9899999999999998</v>
      </c>
      <c r="ED40" s="1">
        <v>5.12</v>
      </c>
    </row>
    <row r="41" spans="1:134" x14ac:dyDescent="0.25">
      <c r="A41" t="s">
        <v>161</v>
      </c>
      <c r="B41" s="1">
        <v>20103.7</v>
      </c>
      <c r="C41" s="1">
        <v>13750</v>
      </c>
      <c r="D41" s="1">
        <v>29565.100000000002</v>
      </c>
      <c r="E41" s="1">
        <v>25704.899999999998</v>
      </c>
      <c r="F41" s="1">
        <v>39991.550000000003</v>
      </c>
      <c r="G41" s="1">
        <v>12208.28</v>
      </c>
      <c r="H41" s="1">
        <v>12677.38</v>
      </c>
      <c r="I41" s="1">
        <v>49357.43</v>
      </c>
      <c r="J41" s="1">
        <v>17578.66</v>
      </c>
      <c r="K41" s="1">
        <v>-2057.11</v>
      </c>
      <c r="L41" s="1">
        <v>199.78</v>
      </c>
      <c r="M41" s="1">
        <v>199.18</v>
      </c>
      <c r="N41" t="s">
        <v>141</v>
      </c>
      <c r="O41" t="s">
        <v>140</v>
      </c>
      <c r="P41" t="s">
        <v>140</v>
      </c>
      <c r="Q41" t="s">
        <v>140</v>
      </c>
      <c r="R41" t="s">
        <v>140</v>
      </c>
      <c r="S41" t="s">
        <v>140</v>
      </c>
      <c r="T41" t="s">
        <v>140</v>
      </c>
      <c r="U41" t="s">
        <v>140</v>
      </c>
      <c r="V41" t="s">
        <v>140</v>
      </c>
      <c r="W41" t="s">
        <v>140</v>
      </c>
      <c r="X41" t="s">
        <v>140</v>
      </c>
      <c r="Y41" t="s">
        <v>140</v>
      </c>
      <c r="Z41" t="s">
        <v>140</v>
      </c>
      <c r="AA41" t="s">
        <v>140</v>
      </c>
      <c r="AB41" t="s">
        <v>140</v>
      </c>
      <c r="AC41" t="s">
        <v>140</v>
      </c>
      <c r="AD41" t="s">
        <v>140</v>
      </c>
      <c r="AE41" t="s">
        <v>140</v>
      </c>
      <c r="AF41" t="s">
        <v>140</v>
      </c>
      <c r="AG41" t="s">
        <v>140</v>
      </c>
      <c r="AH41" t="s">
        <v>140</v>
      </c>
      <c r="AI41" t="s">
        <v>140</v>
      </c>
      <c r="AJ41" t="s">
        <v>140</v>
      </c>
      <c r="AK41" t="s">
        <v>140</v>
      </c>
      <c r="AL41" t="s">
        <v>140</v>
      </c>
      <c r="AM41" t="s">
        <v>140</v>
      </c>
      <c r="AN41" t="s">
        <v>140</v>
      </c>
      <c r="AO41" t="s">
        <v>140</v>
      </c>
      <c r="AP41" t="s">
        <v>140</v>
      </c>
      <c r="AQ41" t="s">
        <v>140</v>
      </c>
      <c r="AR41" t="s">
        <v>140</v>
      </c>
      <c r="AS41" t="s">
        <v>140</v>
      </c>
      <c r="AT41" t="s">
        <v>140</v>
      </c>
      <c r="AU41" t="s">
        <v>140</v>
      </c>
      <c r="AV41" t="s">
        <v>140</v>
      </c>
      <c r="AW41" t="s">
        <v>140</v>
      </c>
      <c r="AX41" t="s">
        <v>140</v>
      </c>
      <c r="AY41" t="s">
        <v>140</v>
      </c>
      <c r="AZ41" t="s">
        <v>140</v>
      </c>
      <c r="BA41" t="s">
        <v>140</v>
      </c>
      <c r="BB41" t="s">
        <v>140</v>
      </c>
      <c r="BC41" t="s">
        <v>140</v>
      </c>
      <c r="BD41" t="s">
        <v>140</v>
      </c>
      <c r="BE41" t="s">
        <v>140</v>
      </c>
      <c r="BF41" t="s">
        <v>140</v>
      </c>
      <c r="BG41" t="s">
        <v>140</v>
      </c>
      <c r="BH41" t="s">
        <v>140</v>
      </c>
      <c r="BI41" t="s">
        <v>140</v>
      </c>
      <c r="BJ41" t="s">
        <v>140</v>
      </c>
      <c r="BK41" t="s">
        <v>140</v>
      </c>
      <c r="BL41" t="s">
        <v>140</v>
      </c>
      <c r="BM41" t="s">
        <v>140</v>
      </c>
      <c r="BN41" t="s">
        <v>140</v>
      </c>
      <c r="BO41" t="s">
        <v>140</v>
      </c>
      <c r="BP41" t="s">
        <v>140</v>
      </c>
      <c r="BQ41" t="s">
        <v>140</v>
      </c>
      <c r="BR41" t="s">
        <v>140</v>
      </c>
      <c r="BS41" t="s">
        <v>140</v>
      </c>
      <c r="BT41" t="s">
        <v>140</v>
      </c>
      <c r="BU41" t="s">
        <v>140</v>
      </c>
      <c r="BV41" t="s">
        <v>140</v>
      </c>
      <c r="BW41" t="s">
        <v>140</v>
      </c>
      <c r="BX41" t="s">
        <v>140</v>
      </c>
      <c r="BY41" t="s">
        <v>140</v>
      </c>
      <c r="BZ41" t="s">
        <v>140</v>
      </c>
      <c r="CA41" t="s">
        <v>140</v>
      </c>
      <c r="CB41" t="s">
        <v>140</v>
      </c>
      <c r="CC41" t="s">
        <v>140</v>
      </c>
      <c r="CD41" t="s">
        <v>140</v>
      </c>
      <c r="CE41" t="s">
        <v>140</v>
      </c>
      <c r="CF41" t="s">
        <v>140</v>
      </c>
      <c r="CG41" t="s">
        <v>140</v>
      </c>
      <c r="CH41" t="s">
        <v>140</v>
      </c>
      <c r="CI41" t="s">
        <v>140</v>
      </c>
      <c r="CJ41" t="s">
        <v>140</v>
      </c>
      <c r="CK41" t="s">
        <v>140</v>
      </c>
      <c r="CL41" t="s">
        <v>140</v>
      </c>
      <c r="CM41" t="s">
        <v>140</v>
      </c>
      <c r="CN41" t="s">
        <v>140</v>
      </c>
      <c r="CO41" t="s">
        <v>140</v>
      </c>
      <c r="CP41" t="s">
        <v>140</v>
      </c>
      <c r="CQ41" t="s">
        <v>140</v>
      </c>
      <c r="CR41" t="s">
        <v>140</v>
      </c>
      <c r="CS41" t="s">
        <v>140</v>
      </c>
      <c r="CT41" t="s">
        <v>140</v>
      </c>
      <c r="CU41" t="s">
        <v>140</v>
      </c>
      <c r="CV41" t="s">
        <v>140</v>
      </c>
      <c r="CW41" t="s">
        <v>140</v>
      </c>
      <c r="CX41" t="s">
        <v>140</v>
      </c>
      <c r="CY41" t="s">
        <v>140</v>
      </c>
      <c r="CZ41" t="s">
        <v>140</v>
      </c>
      <c r="DA41" t="s">
        <v>140</v>
      </c>
      <c r="DB41" t="s">
        <v>140</v>
      </c>
      <c r="DC41" s="1">
        <v>0</v>
      </c>
      <c r="DD41" s="1">
        <v>0</v>
      </c>
      <c r="DE41" s="1">
        <v>0</v>
      </c>
      <c r="DF41" s="1">
        <v>0</v>
      </c>
      <c r="DG41" s="1">
        <v>16975.38</v>
      </c>
      <c r="DH41" s="1">
        <v>17455.810000000001</v>
      </c>
      <c r="DI41" s="1">
        <v>12362.5</v>
      </c>
      <c r="DJ41" s="1">
        <v>30237.329999999998</v>
      </c>
      <c r="DK41" s="1">
        <v>13897.989999999998</v>
      </c>
      <c r="DL41" s="1">
        <v>14155.699999999999</v>
      </c>
      <c r="DM41" s="1">
        <v>24375.34</v>
      </c>
      <c r="DN41" s="1">
        <v>36724.480000000003</v>
      </c>
      <c r="DO41" s="1">
        <v>21582.98</v>
      </c>
      <c r="DP41" s="1">
        <v>31220.29</v>
      </c>
      <c r="DQ41" s="1">
        <v>49236.36</v>
      </c>
      <c r="DR41" s="1">
        <v>29771.030000000002</v>
      </c>
      <c r="DS41" s="1">
        <v>25351.82</v>
      </c>
      <c r="DT41" s="1">
        <v>12747.7</v>
      </c>
      <c r="DU41" s="1">
        <v>9127.0300000000007</v>
      </c>
      <c r="DV41" s="1">
        <v>30494.55</v>
      </c>
      <c r="DW41" s="1">
        <v>29200</v>
      </c>
      <c r="DX41" s="1">
        <v>72058.540000000008</v>
      </c>
      <c r="DY41" s="1">
        <v>18137.440000000002</v>
      </c>
      <c r="DZ41" s="1">
        <v>19110.400000000001</v>
      </c>
      <c r="EA41" s="1">
        <v>2016.2600000000002</v>
      </c>
      <c r="EB41" s="1">
        <v>-3358.66</v>
      </c>
      <c r="EC41" s="1">
        <v>-487.4</v>
      </c>
      <c r="ED41" s="1">
        <v>907.90000000000009</v>
      </c>
    </row>
    <row r="42" spans="1:134" x14ac:dyDescent="0.25">
      <c r="A42" t="s">
        <v>162</v>
      </c>
      <c r="B42" s="1">
        <v>27.700000000000003</v>
      </c>
      <c r="C42" s="1">
        <v>14.81</v>
      </c>
      <c r="D42" s="1">
        <v>25.580000000000002</v>
      </c>
      <c r="E42" s="1">
        <v>18.09</v>
      </c>
      <c r="F42" s="1">
        <v>23.07</v>
      </c>
      <c r="G42" s="1">
        <v>11.91</v>
      </c>
      <c r="H42" s="1">
        <v>11.68</v>
      </c>
      <c r="I42" s="1">
        <v>26.16</v>
      </c>
      <c r="J42" s="1">
        <v>10.26</v>
      </c>
      <c r="K42" s="1">
        <v>-7.39</v>
      </c>
      <c r="L42" s="1">
        <v>1.3299999999999998</v>
      </c>
      <c r="M42" s="1">
        <v>1.34</v>
      </c>
      <c r="N42" t="s">
        <v>141</v>
      </c>
      <c r="O42" t="s">
        <v>140</v>
      </c>
      <c r="P42" t="s">
        <v>140</v>
      </c>
      <c r="Q42" t="s">
        <v>140</v>
      </c>
      <c r="R42" t="s">
        <v>140</v>
      </c>
      <c r="S42" t="s">
        <v>140</v>
      </c>
      <c r="T42" t="s">
        <v>140</v>
      </c>
      <c r="U42" t="s">
        <v>140</v>
      </c>
      <c r="V42" t="s">
        <v>140</v>
      </c>
      <c r="W42" t="s">
        <v>140</v>
      </c>
      <c r="X42" t="s">
        <v>140</v>
      </c>
      <c r="Y42" t="s">
        <v>140</v>
      </c>
      <c r="Z42" t="s">
        <v>140</v>
      </c>
      <c r="AA42" t="s">
        <v>140</v>
      </c>
      <c r="AB42" t="s">
        <v>140</v>
      </c>
      <c r="AC42" t="s">
        <v>140</v>
      </c>
      <c r="AD42" t="s">
        <v>140</v>
      </c>
      <c r="AE42" t="s">
        <v>140</v>
      </c>
      <c r="AF42" t="s">
        <v>140</v>
      </c>
      <c r="AG42" t="s">
        <v>140</v>
      </c>
      <c r="AH42" t="s">
        <v>140</v>
      </c>
      <c r="AI42" t="s">
        <v>140</v>
      </c>
      <c r="AJ42" t="s">
        <v>140</v>
      </c>
      <c r="AK42" t="s">
        <v>140</v>
      </c>
      <c r="AL42" t="s">
        <v>140</v>
      </c>
      <c r="AM42" t="s">
        <v>140</v>
      </c>
      <c r="AN42" t="s">
        <v>140</v>
      </c>
      <c r="AO42" t="s">
        <v>140</v>
      </c>
      <c r="AP42" t="s">
        <v>140</v>
      </c>
      <c r="AQ42" t="s">
        <v>140</v>
      </c>
      <c r="AR42" t="s">
        <v>140</v>
      </c>
      <c r="AS42" t="s">
        <v>140</v>
      </c>
      <c r="AT42" t="s">
        <v>140</v>
      </c>
      <c r="AU42" t="s">
        <v>140</v>
      </c>
      <c r="AV42" t="s">
        <v>140</v>
      </c>
      <c r="AW42" t="s">
        <v>140</v>
      </c>
      <c r="AX42" t="s">
        <v>140</v>
      </c>
      <c r="AY42" t="s">
        <v>140</v>
      </c>
      <c r="AZ42" t="s">
        <v>140</v>
      </c>
      <c r="BA42" t="s">
        <v>140</v>
      </c>
      <c r="BB42" t="s">
        <v>140</v>
      </c>
      <c r="BC42" t="s">
        <v>140</v>
      </c>
      <c r="BD42" t="s">
        <v>140</v>
      </c>
      <c r="BE42" t="s">
        <v>140</v>
      </c>
      <c r="BF42" t="s">
        <v>140</v>
      </c>
      <c r="BG42" t="s">
        <v>140</v>
      </c>
      <c r="BH42" t="s">
        <v>140</v>
      </c>
      <c r="BI42" t="s">
        <v>140</v>
      </c>
      <c r="BJ42" t="s">
        <v>140</v>
      </c>
      <c r="BK42" t="s">
        <v>140</v>
      </c>
      <c r="BL42" t="s">
        <v>140</v>
      </c>
      <c r="BM42" t="s">
        <v>140</v>
      </c>
      <c r="BN42" t="s">
        <v>140</v>
      </c>
      <c r="BO42" t="s">
        <v>140</v>
      </c>
      <c r="BP42" t="s">
        <v>140</v>
      </c>
      <c r="BQ42" t="s">
        <v>140</v>
      </c>
      <c r="BR42" t="s">
        <v>140</v>
      </c>
      <c r="BS42" t="s">
        <v>140</v>
      </c>
      <c r="BT42" t="s">
        <v>140</v>
      </c>
      <c r="BU42" t="s">
        <v>140</v>
      </c>
      <c r="BV42" t="s">
        <v>140</v>
      </c>
      <c r="BW42" t="s">
        <v>140</v>
      </c>
      <c r="BX42" t="s">
        <v>140</v>
      </c>
      <c r="BY42" t="s">
        <v>140</v>
      </c>
      <c r="BZ42" t="s">
        <v>140</v>
      </c>
      <c r="CA42" t="s">
        <v>140</v>
      </c>
      <c r="CB42" t="s">
        <v>140</v>
      </c>
      <c r="CC42" t="s">
        <v>140</v>
      </c>
      <c r="CD42" t="s">
        <v>140</v>
      </c>
      <c r="CE42" t="s">
        <v>140</v>
      </c>
      <c r="CF42" t="s">
        <v>140</v>
      </c>
      <c r="CG42" t="s">
        <v>140</v>
      </c>
      <c r="CH42" t="s">
        <v>140</v>
      </c>
      <c r="CI42" t="s">
        <v>140</v>
      </c>
      <c r="CJ42" t="s">
        <v>140</v>
      </c>
      <c r="CK42" t="s">
        <v>140</v>
      </c>
      <c r="CL42" t="s">
        <v>140</v>
      </c>
      <c r="CM42" t="s">
        <v>140</v>
      </c>
      <c r="CN42" t="s">
        <v>140</v>
      </c>
      <c r="CO42" t="s">
        <v>140</v>
      </c>
      <c r="CP42" t="s">
        <v>140</v>
      </c>
      <c r="CQ42" t="s">
        <v>140</v>
      </c>
      <c r="CR42" t="s">
        <v>140</v>
      </c>
      <c r="CS42" t="s">
        <v>140</v>
      </c>
      <c r="CT42" t="s">
        <v>140</v>
      </c>
      <c r="CU42" t="s">
        <v>140</v>
      </c>
      <c r="CV42" t="s">
        <v>140</v>
      </c>
      <c r="CW42" t="s">
        <v>140</v>
      </c>
      <c r="CX42" t="s">
        <v>140</v>
      </c>
      <c r="CY42" t="s">
        <v>140</v>
      </c>
      <c r="CZ42" t="s">
        <v>140</v>
      </c>
      <c r="DA42" t="s">
        <v>140</v>
      </c>
      <c r="DB42" t="s">
        <v>140</v>
      </c>
      <c r="DC42" s="1">
        <v>0</v>
      </c>
      <c r="DD42" s="1">
        <v>0</v>
      </c>
      <c r="DE42" s="1">
        <v>0</v>
      </c>
      <c r="DF42" s="1">
        <v>0</v>
      </c>
      <c r="DG42" s="1">
        <v>23.48</v>
      </c>
      <c r="DH42" s="1">
        <v>28.1</v>
      </c>
      <c r="DI42" s="1">
        <v>17.37</v>
      </c>
      <c r="DJ42" s="1">
        <v>36.39</v>
      </c>
      <c r="DK42" s="1">
        <v>15.310000000000002</v>
      </c>
      <c r="DL42" s="1">
        <v>14.24</v>
      </c>
      <c r="DM42" s="1">
        <v>22.189999999999998</v>
      </c>
      <c r="DN42" s="1">
        <v>29.4</v>
      </c>
      <c r="DO42" s="1">
        <v>15.61</v>
      </c>
      <c r="DP42" s="1">
        <v>20.74</v>
      </c>
      <c r="DQ42" s="1">
        <v>30.23</v>
      </c>
      <c r="DR42" s="1">
        <v>16.400000000000002</v>
      </c>
      <c r="DS42" s="1">
        <v>11.99</v>
      </c>
      <c r="DT42" s="1">
        <v>11.62</v>
      </c>
      <c r="DU42" s="1">
        <v>8.35</v>
      </c>
      <c r="DV42" s="1">
        <v>14.96</v>
      </c>
      <c r="DW42" s="1">
        <v>14.49</v>
      </c>
      <c r="DX42" s="1">
        <v>37.5</v>
      </c>
      <c r="DY42" s="1">
        <v>9.879999999999999</v>
      </c>
      <c r="DZ42" s="1">
        <v>11.06</v>
      </c>
      <c r="EA42" s="1">
        <v>6.98</v>
      </c>
      <c r="EB42" s="1">
        <v>-22.2</v>
      </c>
      <c r="EC42" s="1">
        <v>-3.38</v>
      </c>
      <c r="ED42" s="1">
        <v>6.04</v>
      </c>
    </row>
    <row r="43" spans="1:134" x14ac:dyDescent="0.25">
      <c r="A43" t="s">
        <v>163</v>
      </c>
      <c r="B43" s="1">
        <v>5.33</v>
      </c>
      <c r="C43" s="1">
        <v>4.9000000000000004</v>
      </c>
      <c r="D43" s="1">
        <v>4.75</v>
      </c>
      <c r="E43" s="1">
        <v>4.42</v>
      </c>
      <c r="F43" s="1">
        <v>3.91</v>
      </c>
      <c r="G43" s="1">
        <v>3.7699999999999996</v>
      </c>
      <c r="H43" s="1">
        <v>3.6700000000000004</v>
      </c>
      <c r="I43" s="1">
        <v>3.61</v>
      </c>
      <c r="J43" s="1">
        <v>3.16</v>
      </c>
      <c r="K43" s="1">
        <v>3.8600000000000003</v>
      </c>
      <c r="L43" s="1">
        <v>1.5699999999999998</v>
      </c>
      <c r="M43" s="1">
        <v>1.5699999999999998</v>
      </c>
      <c r="N43" t="s">
        <v>141</v>
      </c>
      <c r="O43" t="s">
        <v>140</v>
      </c>
      <c r="P43" t="s">
        <v>140</v>
      </c>
      <c r="Q43" t="s">
        <v>140</v>
      </c>
      <c r="R43" t="s">
        <v>140</v>
      </c>
      <c r="S43" t="s">
        <v>140</v>
      </c>
      <c r="T43" t="s">
        <v>140</v>
      </c>
      <c r="U43" t="s">
        <v>140</v>
      </c>
      <c r="V43" t="s">
        <v>140</v>
      </c>
      <c r="W43" t="s">
        <v>140</v>
      </c>
      <c r="X43" t="s">
        <v>140</v>
      </c>
      <c r="Y43" t="s">
        <v>140</v>
      </c>
      <c r="Z43" t="s">
        <v>140</v>
      </c>
      <c r="AA43" t="s">
        <v>140</v>
      </c>
      <c r="AB43" t="s">
        <v>140</v>
      </c>
      <c r="AC43" t="s">
        <v>140</v>
      </c>
      <c r="AD43" t="s">
        <v>140</v>
      </c>
      <c r="AE43" t="s">
        <v>140</v>
      </c>
      <c r="AF43" t="s">
        <v>140</v>
      </c>
      <c r="AG43" t="s">
        <v>140</v>
      </c>
      <c r="AH43" t="s">
        <v>140</v>
      </c>
      <c r="AI43" t="s">
        <v>140</v>
      </c>
      <c r="AJ43" t="s">
        <v>140</v>
      </c>
      <c r="AK43" t="s">
        <v>140</v>
      </c>
      <c r="AL43" t="s">
        <v>140</v>
      </c>
      <c r="AM43" t="s">
        <v>140</v>
      </c>
      <c r="AN43" t="s">
        <v>140</v>
      </c>
      <c r="AO43" t="s">
        <v>140</v>
      </c>
      <c r="AP43" t="s">
        <v>140</v>
      </c>
      <c r="AQ43" t="s">
        <v>140</v>
      </c>
      <c r="AR43" t="s">
        <v>140</v>
      </c>
      <c r="AS43" t="s">
        <v>140</v>
      </c>
      <c r="AT43" t="s">
        <v>140</v>
      </c>
      <c r="AU43" t="s">
        <v>140</v>
      </c>
      <c r="AV43" t="s">
        <v>140</v>
      </c>
      <c r="AW43" t="s">
        <v>140</v>
      </c>
      <c r="AX43" t="s">
        <v>140</v>
      </c>
      <c r="AY43" t="s">
        <v>140</v>
      </c>
      <c r="AZ43" t="s">
        <v>140</v>
      </c>
      <c r="BA43" t="s">
        <v>140</v>
      </c>
      <c r="BB43" t="s">
        <v>140</v>
      </c>
      <c r="BC43" t="s">
        <v>140</v>
      </c>
      <c r="BD43" t="s">
        <v>140</v>
      </c>
      <c r="BE43" t="s">
        <v>140</v>
      </c>
      <c r="BF43" t="s">
        <v>140</v>
      </c>
      <c r="BG43" t="s">
        <v>140</v>
      </c>
      <c r="BH43" t="s">
        <v>140</v>
      </c>
      <c r="BI43" t="s">
        <v>140</v>
      </c>
      <c r="BJ43" t="s">
        <v>140</v>
      </c>
      <c r="BK43" t="s">
        <v>140</v>
      </c>
      <c r="BL43" t="s">
        <v>140</v>
      </c>
      <c r="BM43" t="s">
        <v>140</v>
      </c>
      <c r="BN43" t="s">
        <v>140</v>
      </c>
      <c r="BO43" t="s">
        <v>140</v>
      </c>
      <c r="BP43" t="s">
        <v>140</v>
      </c>
      <c r="BQ43" t="s">
        <v>140</v>
      </c>
      <c r="BR43" t="s">
        <v>140</v>
      </c>
      <c r="BS43" t="s">
        <v>140</v>
      </c>
      <c r="BT43" t="s">
        <v>140</v>
      </c>
      <c r="BU43" t="s">
        <v>140</v>
      </c>
      <c r="BV43" t="s">
        <v>140</v>
      </c>
      <c r="BW43" t="s">
        <v>140</v>
      </c>
      <c r="BX43" t="s">
        <v>140</v>
      </c>
      <c r="BY43" t="s">
        <v>140</v>
      </c>
      <c r="BZ43" t="s">
        <v>140</v>
      </c>
      <c r="CA43" t="s">
        <v>140</v>
      </c>
      <c r="CB43" t="s">
        <v>140</v>
      </c>
      <c r="CC43" t="s">
        <v>140</v>
      </c>
      <c r="CD43" t="s">
        <v>140</v>
      </c>
      <c r="CE43" t="s">
        <v>140</v>
      </c>
      <c r="CF43" t="s">
        <v>140</v>
      </c>
      <c r="CG43" t="s">
        <v>140</v>
      </c>
      <c r="CH43" t="s">
        <v>140</v>
      </c>
      <c r="CI43" t="s">
        <v>140</v>
      </c>
      <c r="CJ43" t="s">
        <v>140</v>
      </c>
      <c r="CK43" t="s">
        <v>140</v>
      </c>
      <c r="CL43" t="s">
        <v>140</v>
      </c>
      <c r="CM43" t="s">
        <v>140</v>
      </c>
      <c r="CN43" t="s">
        <v>140</v>
      </c>
      <c r="CO43" t="s">
        <v>140</v>
      </c>
      <c r="CP43" t="s">
        <v>140</v>
      </c>
      <c r="CQ43" t="s">
        <v>140</v>
      </c>
      <c r="CR43" t="s">
        <v>140</v>
      </c>
      <c r="CS43" t="s">
        <v>140</v>
      </c>
      <c r="CT43" t="s">
        <v>140</v>
      </c>
      <c r="CU43" t="s">
        <v>140</v>
      </c>
      <c r="CV43" t="s">
        <v>140</v>
      </c>
      <c r="CW43" t="s">
        <v>140</v>
      </c>
      <c r="CX43" t="s">
        <v>140</v>
      </c>
      <c r="CY43" t="s">
        <v>140</v>
      </c>
      <c r="CZ43" t="s">
        <v>140</v>
      </c>
      <c r="DA43" t="s">
        <v>140</v>
      </c>
      <c r="DB43" t="s">
        <v>140</v>
      </c>
      <c r="DC43" s="1">
        <v>0</v>
      </c>
      <c r="DD43" s="1">
        <v>0</v>
      </c>
      <c r="DE43" s="1">
        <v>0</v>
      </c>
      <c r="DF43" s="1">
        <v>0</v>
      </c>
      <c r="DG43" s="1">
        <v>19.21</v>
      </c>
      <c r="DH43" s="1">
        <v>28.89</v>
      </c>
      <c r="DI43" s="1">
        <v>16</v>
      </c>
      <c r="DJ43" s="1">
        <v>-4.32</v>
      </c>
      <c r="DK43" s="1">
        <v>4.8599999999999994</v>
      </c>
      <c r="DL43" s="1">
        <v>4.91</v>
      </c>
      <c r="DM43" s="1">
        <v>4.9799999999999995</v>
      </c>
      <c r="DN43" s="1">
        <v>4.67</v>
      </c>
      <c r="DO43" s="1">
        <v>4.45</v>
      </c>
      <c r="DP43" s="1">
        <v>4.46</v>
      </c>
      <c r="DQ43" s="1">
        <v>3.9800000000000004</v>
      </c>
      <c r="DR43" s="1">
        <v>3.85</v>
      </c>
      <c r="DS43" s="1">
        <v>3.63</v>
      </c>
      <c r="DT43" s="1">
        <v>3.74</v>
      </c>
      <c r="DU43" s="1">
        <v>3.5900000000000003</v>
      </c>
      <c r="DV43" s="1">
        <v>3.6700000000000004</v>
      </c>
      <c r="DW43" s="1">
        <v>3.63</v>
      </c>
      <c r="DX43" s="1">
        <v>3.51</v>
      </c>
      <c r="DY43" s="1">
        <v>3.1199999999999997</v>
      </c>
      <c r="DZ43" s="1">
        <v>3.17</v>
      </c>
      <c r="EA43" s="1">
        <v>3.09</v>
      </c>
      <c r="EB43" s="1">
        <v>3.64</v>
      </c>
      <c r="EC43" s="1">
        <v>4.32</v>
      </c>
      <c r="ED43" s="1">
        <v>3.52</v>
      </c>
    </row>
    <row r="44" spans="1:134" x14ac:dyDescent="0.25">
      <c r="A44" t="s">
        <v>164</v>
      </c>
      <c r="B44" s="1">
        <v>5.35</v>
      </c>
      <c r="C44" s="1">
        <v>3.11</v>
      </c>
      <c r="D44" s="1">
        <v>3.93</v>
      </c>
      <c r="E44" s="1">
        <v>5.05</v>
      </c>
      <c r="F44" s="1">
        <v>5.68</v>
      </c>
      <c r="G44" s="1">
        <v>4.32</v>
      </c>
      <c r="H44" s="1">
        <v>4.7300000000000004</v>
      </c>
      <c r="I44" s="1">
        <v>4.9400000000000004</v>
      </c>
      <c r="J44" s="1">
        <v>5.35</v>
      </c>
      <c r="K44" s="1">
        <v>3.83</v>
      </c>
      <c r="L44" s="1">
        <v>5.55</v>
      </c>
      <c r="M44" s="1">
        <v>5.5</v>
      </c>
      <c r="N44" t="s">
        <v>141</v>
      </c>
      <c r="O44" t="s">
        <v>140</v>
      </c>
      <c r="P44" t="s">
        <v>140</v>
      </c>
      <c r="Q44" t="s">
        <v>140</v>
      </c>
      <c r="R44" t="s">
        <v>140</v>
      </c>
      <c r="S44" t="s">
        <v>140</v>
      </c>
      <c r="T44" t="s">
        <v>140</v>
      </c>
      <c r="U44" t="s">
        <v>140</v>
      </c>
      <c r="V44" t="s">
        <v>140</v>
      </c>
      <c r="W44" t="s">
        <v>140</v>
      </c>
      <c r="X44" t="s">
        <v>140</v>
      </c>
      <c r="Y44" t="s">
        <v>140</v>
      </c>
      <c r="Z44" t="s">
        <v>140</v>
      </c>
      <c r="AA44" t="s">
        <v>140</v>
      </c>
      <c r="AB44" t="s">
        <v>140</v>
      </c>
      <c r="AC44" t="s">
        <v>140</v>
      </c>
      <c r="AD44" t="s">
        <v>140</v>
      </c>
      <c r="AE44" t="s">
        <v>140</v>
      </c>
      <c r="AF44" t="s">
        <v>140</v>
      </c>
      <c r="AG44" t="s">
        <v>140</v>
      </c>
      <c r="AH44" t="s">
        <v>140</v>
      </c>
      <c r="AI44" t="s">
        <v>140</v>
      </c>
      <c r="AJ44" t="s">
        <v>140</v>
      </c>
      <c r="AK44" t="s">
        <v>140</v>
      </c>
      <c r="AL44" t="s">
        <v>140</v>
      </c>
      <c r="AM44" t="s">
        <v>140</v>
      </c>
      <c r="AN44" t="s">
        <v>140</v>
      </c>
      <c r="AO44" t="s">
        <v>140</v>
      </c>
      <c r="AP44" t="s">
        <v>140</v>
      </c>
      <c r="AQ44" t="s">
        <v>140</v>
      </c>
      <c r="AR44" t="s">
        <v>140</v>
      </c>
      <c r="AS44" t="s">
        <v>140</v>
      </c>
      <c r="AT44" t="s">
        <v>140</v>
      </c>
      <c r="AU44" t="s">
        <v>140</v>
      </c>
      <c r="AV44" t="s">
        <v>140</v>
      </c>
      <c r="AW44" t="s">
        <v>140</v>
      </c>
      <c r="AX44" t="s">
        <v>140</v>
      </c>
      <c r="AY44" t="s">
        <v>140</v>
      </c>
      <c r="AZ44" t="s">
        <v>140</v>
      </c>
      <c r="BA44" t="s">
        <v>140</v>
      </c>
      <c r="BB44" t="s">
        <v>140</v>
      </c>
      <c r="BC44" t="s">
        <v>140</v>
      </c>
      <c r="BD44" t="s">
        <v>140</v>
      </c>
      <c r="BE44" t="s">
        <v>140</v>
      </c>
      <c r="BF44" t="s">
        <v>140</v>
      </c>
      <c r="BG44" t="s">
        <v>140</v>
      </c>
      <c r="BH44" t="s">
        <v>140</v>
      </c>
      <c r="BI44" t="s">
        <v>140</v>
      </c>
      <c r="BJ44" t="s">
        <v>140</v>
      </c>
      <c r="BK44" t="s">
        <v>140</v>
      </c>
      <c r="BL44" t="s">
        <v>140</v>
      </c>
      <c r="BM44" t="s">
        <v>140</v>
      </c>
      <c r="BN44" t="s">
        <v>140</v>
      </c>
      <c r="BO44" t="s">
        <v>140</v>
      </c>
      <c r="BP44" t="s">
        <v>140</v>
      </c>
      <c r="BQ44" t="s">
        <v>140</v>
      </c>
      <c r="BR44" t="s">
        <v>140</v>
      </c>
      <c r="BS44" t="s">
        <v>140</v>
      </c>
      <c r="BT44" t="s">
        <v>140</v>
      </c>
      <c r="BU44" t="s">
        <v>140</v>
      </c>
      <c r="BV44" t="s">
        <v>140</v>
      </c>
      <c r="BW44" t="s">
        <v>140</v>
      </c>
      <c r="BX44" t="s">
        <v>140</v>
      </c>
      <c r="BY44" t="s">
        <v>140</v>
      </c>
      <c r="BZ44" t="s">
        <v>140</v>
      </c>
      <c r="CA44" t="s">
        <v>140</v>
      </c>
      <c r="CB44" t="s">
        <v>140</v>
      </c>
      <c r="CC44" t="s">
        <v>140</v>
      </c>
      <c r="CD44" t="s">
        <v>140</v>
      </c>
      <c r="CE44" t="s">
        <v>140</v>
      </c>
      <c r="CF44" t="s">
        <v>140</v>
      </c>
      <c r="CG44" t="s">
        <v>140</v>
      </c>
      <c r="CH44" t="s">
        <v>140</v>
      </c>
      <c r="CI44" t="s">
        <v>140</v>
      </c>
      <c r="CJ44" t="s">
        <v>140</v>
      </c>
      <c r="CK44" t="s">
        <v>140</v>
      </c>
      <c r="CL44" t="s">
        <v>140</v>
      </c>
      <c r="CM44" t="s">
        <v>140</v>
      </c>
      <c r="CN44" t="s">
        <v>140</v>
      </c>
      <c r="CO44" t="s">
        <v>140</v>
      </c>
      <c r="CP44" t="s">
        <v>140</v>
      </c>
      <c r="CQ44" t="s">
        <v>140</v>
      </c>
      <c r="CR44" t="s">
        <v>140</v>
      </c>
      <c r="CS44" t="s">
        <v>140</v>
      </c>
      <c r="CT44" t="s">
        <v>140</v>
      </c>
      <c r="CU44" t="s">
        <v>140</v>
      </c>
      <c r="CV44" t="s">
        <v>140</v>
      </c>
      <c r="CW44" t="s">
        <v>140</v>
      </c>
      <c r="CX44" t="s">
        <v>140</v>
      </c>
      <c r="CY44" t="s">
        <v>140</v>
      </c>
      <c r="CZ44" t="s">
        <v>140</v>
      </c>
      <c r="DA44" t="s">
        <v>140</v>
      </c>
      <c r="DB44" t="s">
        <v>140</v>
      </c>
      <c r="DC44" s="1">
        <v>0</v>
      </c>
      <c r="DD44" s="1">
        <v>0</v>
      </c>
      <c r="DE44" s="1">
        <v>8.11</v>
      </c>
      <c r="DF44" s="1">
        <v>7.48</v>
      </c>
      <c r="DG44" s="1">
        <v>0</v>
      </c>
      <c r="DH44" s="1">
        <v>8.83</v>
      </c>
      <c r="DI44" s="1">
        <v>0</v>
      </c>
      <c r="DJ44" s="1">
        <v>5.35</v>
      </c>
      <c r="DK44" s="1">
        <v>0</v>
      </c>
      <c r="DL44" s="1">
        <v>3.11</v>
      </c>
      <c r="DM44" s="1">
        <v>0</v>
      </c>
      <c r="DN44" s="1">
        <v>3.93</v>
      </c>
      <c r="DO44" s="1">
        <v>0</v>
      </c>
      <c r="DP44" s="1">
        <v>5.05</v>
      </c>
      <c r="DQ44" s="1">
        <v>0</v>
      </c>
      <c r="DR44" s="1">
        <v>5.68</v>
      </c>
      <c r="DS44" s="1">
        <v>0</v>
      </c>
      <c r="DT44" s="1">
        <v>4.32</v>
      </c>
      <c r="DU44" s="1">
        <v>0</v>
      </c>
      <c r="DV44" s="1">
        <v>4.7300000000000004</v>
      </c>
      <c r="DW44" s="1">
        <v>0</v>
      </c>
      <c r="DX44" s="1">
        <v>4.9400000000000004</v>
      </c>
      <c r="DY44" s="1">
        <v>0</v>
      </c>
      <c r="DZ44" s="1">
        <v>5.35</v>
      </c>
      <c r="EA44" s="1">
        <v>0</v>
      </c>
      <c r="EB44" s="1">
        <v>3.83</v>
      </c>
      <c r="EC44" s="1">
        <v>0</v>
      </c>
      <c r="ED44" s="1">
        <v>5.55</v>
      </c>
    </row>
    <row r="45" spans="1:134" x14ac:dyDescent="0.25">
      <c r="A45" t="s">
        <v>165</v>
      </c>
      <c r="B45" s="1">
        <v>4.72</v>
      </c>
      <c r="C45" s="1">
        <v>2.19</v>
      </c>
      <c r="D45" s="1">
        <v>2.5299999999999998</v>
      </c>
      <c r="E45" s="1">
        <v>2.4500000000000002</v>
      </c>
      <c r="F45" s="1">
        <v>2.33</v>
      </c>
      <c r="G45" s="1">
        <v>1.82</v>
      </c>
      <c r="H45" s="1">
        <v>1.3299999999999998</v>
      </c>
      <c r="I45" s="1">
        <v>1.7000000000000002</v>
      </c>
      <c r="J45" s="1">
        <v>1.7399999999999998</v>
      </c>
      <c r="K45" s="1">
        <v>3.01</v>
      </c>
      <c r="L45" s="1">
        <v>2.2999999999999998</v>
      </c>
      <c r="M45" s="1">
        <v>2.31</v>
      </c>
      <c r="N45" t="s">
        <v>141</v>
      </c>
      <c r="O45" t="s">
        <v>140</v>
      </c>
      <c r="P45" t="s">
        <v>140</v>
      </c>
      <c r="Q45" t="s">
        <v>140</v>
      </c>
      <c r="R45" t="s">
        <v>140</v>
      </c>
      <c r="S45" t="s">
        <v>140</v>
      </c>
      <c r="T45" t="s">
        <v>140</v>
      </c>
      <c r="U45" t="s">
        <v>140</v>
      </c>
      <c r="V45" t="s">
        <v>140</v>
      </c>
      <c r="W45" t="s">
        <v>140</v>
      </c>
      <c r="X45" t="s">
        <v>140</v>
      </c>
      <c r="Y45" t="s">
        <v>140</v>
      </c>
      <c r="Z45" t="s">
        <v>140</v>
      </c>
      <c r="AA45" t="s">
        <v>140</v>
      </c>
      <c r="AB45" t="s">
        <v>140</v>
      </c>
      <c r="AC45" t="s">
        <v>140</v>
      </c>
      <c r="AD45" t="s">
        <v>140</v>
      </c>
      <c r="AE45" t="s">
        <v>140</v>
      </c>
      <c r="AF45" t="s">
        <v>140</v>
      </c>
      <c r="AG45" t="s">
        <v>140</v>
      </c>
      <c r="AH45" t="s">
        <v>140</v>
      </c>
      <c r="AI45" t="s">
        <v>140</v>
      </c>
      <c r="AJ45" t="s">
        <v>140</v>
      </c>
      <c r="AK45" t="s">
        <v>140</v>
      </c>
      <c r="AL45" t="s">
        <v>140</v>
      </c>
      <c r="AM45" t="s">
        <v>140</v>
      </c>
      <c r="AN45" t="s">
        <v>140</v>
      </c>
      <c r="AO45" t="s">
        <v>140</v>
      </c>
      <c r="AP45" t="s">
        <v>140</v>
      </c>
      <c r="AQ45" t="s">
        <v>140</v>
      </c>
      <c r="AR45" t="s">
        <v>140</v>
      </c>
      <c r="AS45" t="s">
        <v>140</v>
      </c>
      <c r="AT45" t="s">
        <v>140</v>
      </c>
      <c r="AU45" t="s">
        <v>140</v>
      </c>
      <c r="AV45" t="s">
        <v>140</v>
      </c>
      <c r="AW45" t="s">
        <v>140</v>
      </c>
      <c r="AX45" t="s">
        <v>140</v>
      </c>
      <c r="AY45" t="s">
        <v>140</v>
      </c>
      <c r="AZ45" t="s">
        <v>140</v>
      </c>
      <c r="BA45" t="s">
        <v>140</v>
      </c>
      <c r="BB45" t="s">
        <v>140</v>
      </c>
      <c r="BC45" t="s">
        <v>140</v>
      </c>
      <c r="BD45" t="s">
        <v>140</v>
      </c>
      <c r="BE45" t="s">
        <v>140</v>
      </c>
      <c r="BF45" t="s">
        <v>140</v>
      </c>
      <c r="BG45" t="s">
        <v>140</v>
      </c>
      <c r="BH45" t="s">
        <v>140</v>
      </c>
      <c r="BI45" t="s">
        <v>140</v>
      </c>
      <c r="BJ45" t="s">
        <v>140</v>
      </c>
      <c r="BK45" t="s">
        <v>140</v>
      </c>
      <c r="BL45" t="s">
        <v>140</v>
      </c>
      <c r="BM45" t="s">
        <v>140</v>
      </c>
      <c r="BN45" t="s">
        <v>140</v>
      </c>
      <c r="BO45" t="s">
        <v>140</v>
      </c>
      <c r="BP45" t="s">
        <v>140</v>
      </c>
      <c r="BQ45" t="s">
        <v>140</v>
      </c>
      <c r="BR45" t="s">
        <v>140</v>
      </c>
      <c r="BS45" t="s">
        <v>140</v>
      </c>
      <c r="BT45" t="s">
        <v>140</v>
      </c>
      <c r="BU45" t="s">
        <v>140</v>
      </c>
      <c r="BV45" t="s">
        <v>140</v>
      </c>
      <c r="BW45" t="s">
        <v>140</v>
      </c>
      <c r="BX45" t="s">
        <v>140</v>
      </c>
      <c r="BY45" t="s">
        <v>140</v>
      </c>
      <c r="BZ45" t="s">
        <v>140</v>
      </c>
      <c r="CA45" t="s">
        <v>140</v>
      </c>
      <c r="CB45" t="s">
        <v>140</v>
      </c>
      <c r="CC45" t="s">
        <v>140</v>
      </c>
      <c r="CD45" t="s">
        <v>140</v>
      </c>
      <c r="CE45" t="s">
        <v>140</v>
      </c>
      <c r="CF45" t="s">
        <v>140</v>
      </c>
      <c r="CG45" t="s">
        <v>140</v>
      </c>
      <c r="CH45" t="s">
        <v>140</v>
      </c>
      <c r="CI45" t="s">
        <v>140</v>
      </c>
      <c r="CJ45" t="s">
        <v>140</v>
      </c>
      <c r="CK45" t="s">
        <v>140</v>
      </c>
      <c r="CL45" t="s">
        <v>140</v>
      </c>
      <c r="CM45" t="s">
        <v>140</v>
      </c>
      <c r="CN45" t="s">
        <v>140</v>
      </c>
      <c r="CO45" t="s">
        <v>140</v>
      </c>
      <c r="CP45" t="s">
        <v>140</v>
      </c>
      <c r="CQ45" t="s">
        <v>140</v>
      </c>
      <c r="CR45" t="s">
        <v>140</v>
      </c>
      <c r="CS45" t="s">
        <v>140</v>
      </c>
      <c r="CT45" t="s">
        <v>140</v>
      </c>
      <c r="CU45" t="s">
        <v>140</v>
      </c>
      <c r="CV45" t="s">
        <v>140</v>
      </c>
      <c r="CW45" t="s">
        <v>140</v>
      </c>
      <c r="CX45" t="s">
        <v>140</v>
      </c>
      <c r="CY45" t="s">
        <v>140</v>
      </c>
      <c r="CZ45" t="s">
        <v>140</v>
      </c>
      <c r="DA45" t="s">
        <v>140</v>
      </c>
      <c r="DB45" t="s">
        <v>140</v>
      </c>
      <c r="DC45" s="1">
        <v>0</v>
      </c>
      <c r="DD45" s="1">
        <v>0</v>
      </c>
      <c r="DE45" s="1">
        <v>0</v>
      </c>
      <c r="DF45" s="1">
        <v>0</v>
      </c>
      <c r="DG45" s="1">
        <v>4.42</v>
      </c>
      <c r="DH45" s="1">
        <v>5.83</v>
      </c>
      <c r="DI45" s="1">
        <v>5.0200000000000005</v>
      </c>
      <c r="DJ45" s="1">
        <v>4.3600000000000003</v>
      </c>
      <c r="DK45" s="1">
        <v>3.44</v>
      </c>
      <c r="DL45" s="1">
        <v>0.86999999999999988</v>
      </c>
      <c r="DM45" s="1">
        <v>2.56</v>
      </c>
      <c r="DN45" s="1">
        <v>2.5</v>
      </c>
      <c r="DO45" s="1">
        <v>2.58</v>
      </c>
      <c r="DP45" s="1">
        <v>2.5100000000000002</v>
      </c>
      <c r="DQ45" s="1">
        <v>2.37</v>
      </c>
      <c r="DR45" s="1">
        <v>2.37</v>
      </c>
      <c r="DS45" s="1">
        <v>1.6199999999999999</v>
      </c>
      <c r="DT45" s="1">
        <v>1.66</v>
      </c>
      <c r="DU45" s="1">
        <v>1.27</v>
      </c>
      <c r="DV45" s="1">
        <v>1.28</v>
      </c>
      <c r="DW45" s="1">
        <v>1.27</v>
      </c>
      <c r="DX45" s="1">
        <v>1.7500000000000002</v>
      </c>
      <c r="DY45" s="1">
        <v>1.8900000000000001</v>
      </c>
      <c r="DZ45" s="1">
        <v>1.81</v>
      </c>
      <c r="EA45" s="1">
        <v>3.2300000000000004</v>
      </c>
      <c r="EB45" s="1">
        <v>2.9899999999999998</v>
      </c>
      <c r="EC45" s="1">
        <v>2.5299999999999998</v>
      </c>
      <c r="ED45" s="1">
        <v>2.13</v>
      </c>
    </row>
    <row r="46" spans="1:134" x14ac:dyDescent="0.25">
      <c r="A46" t="s">
        <v>166</v>
      </c>
      <c r="B46" s="1">
        <v>68.069999999999993</v>
      </c>
      <c r="C46" s="1">
        <v>70.55</v>
      </c>
      <c r="D46" s="1">
        <v>70.95</v>
      </c>
      <c r="E46" s="1">
        <v>72.7</v>
      </c>
      <c r="F46" s="1">
        <v>73.400000000000006</v>
      </c>
      <c r="G46" s="1">
        <v>74.52</v>
      </c>
      <c r="H46" s="1">
        <v>75.570000000000007</v>
      </c>
      <c r="I46" s="1">
        <v>76.449999999999989</v>
      </c>
      <c r="J46" s="1">
        <v>76.61</v>
      </c>
      <c r="K46" s="1">
        <v>76.69</v>
      </c>
      <c r="L46" s="1">
        <v>76.680000000000007</v>
      </c>
      <c r="M46" s="1">
        <v>76.680000000000007</v>
      </c>
      <c r="N46" t="s">
        <v>141</v>
      </c>
      <c r="O46" t="s">
        <v>140</v>
      </c>
      <c r="P46" t="s">
        <v>140</v>
      </c>
      <c r="Q46" t="s">
        <v>140</v>
      </c>
      <c r="R46" t="s">
        <v>140</v>
      </c>
      <c r="S46" t="s">
        <v>140</v>
      </c>
      <c r="T46" t="s">
        <v>140</v>
      </c>
      <c r="U46" t="s">
        <v>140</v>
      </c>
      <c r="V46" t="s">
        <v>140</v>
      </c>
      <c r="W46" t="s">
        <v>140</v>
      </c>
      <c r="X46" t="s">
        <v>140</v>
      </c>
      <c r="Y46" t="s">
        <v>140</v>
      </c>
      <c r="Z46" t="s">
        <v>140</v>
      </c>
      <c r="AA46" t="s">
        <v>140</v>
      </c>
      <c r="AB46" t="s">
        <v>140</v>
      </c>
      <c r="AC46" t="s">
        <v>140</v>
      </c>
      <c r="AD46" t="s">
        <v>140</v>
      </c>
      <c r="AE46" t="s">
        <v>140</v>
      </c>
      <c r="AF46" t="s">
        <v>140</v>
      </c>
      <c r="AG46" t="s">
        <v>140</v>
      </c>
      <c r="AH46" t="s">
        <v>140</v>
      </c>
      <c r="AI46" t="s">
        <v>140</v>
      </c>
      <c r="AJ46" t="s">
        <v>140</v>
      </c>
      <c r="AK46" t="s">
        <v>140</v>
      </c>
      <c r="AL46" t="s">
        <v>140</v>
      </c>
      <c r="AM46" t="s">
        <v>140</v>
      </c>
      <c r="AN46" t="s">
        <v>140</v>
      </c>
      <c r="AO46" t="s">
        <v>140</v>
      </c>
      <c r="AP46" t="s">
        <v>140</v>
      </c>
      <c r="AQ46" t="s">
        <v>140</v>
      </c>
      <c r="AR46" t="s">
        <v>140</v>
      </c>
      <c r="AS46" t="s">
        <v>140</v>
      </c>
      <c r="AT46" t="s">
        <v>140</v>
      </c>
      <c r="AU46" t="s">
        <v>140</v>
      </c>
      <c r="AV46" t="s">
        <v>140</v>
      </c>
      <c r="AW46" t="s">
        <v>140</v>
      </c>
      <c r="AX46" t="s">
        <v>140</v>
      </c>
      <c r="AY46" t="s">
        <v>140</v>
      </c>
      <c r="AZ46" t="s">
        <v>140</v>
      </c>
      <c r="BA46" t="s">
        <v>140</v>
      </c>
      <c r="BB46" t="s">
        <v>140</v>
      </c>
      <c r="BC46" t="s">
        <v>140</v>
      </c>
      <c r="BD46" t="s">
        <v>140</v>
      </c>
      <c r="BE46" t="s">
        <v>140</v>
      </c>
      <c r="BF46" t="s">
        <v>140</v>
      </c>
      <c r="BG46" t="s">
        <v>140</v>
      </c>
      <c r="BH46" t="s">
        <v>140</v>
      </c>
      <c r="BI46" t="s">
        <v>140</v>
      </c>
      <c r="BJ46" t="s">
        <v>140</v>
      </c>
      <c r="BK46" t="s">
        <v>140</v>
      </c>
      <c r="BL46" t="s">
        <v>140</v>
      </c>
      <c r="BM46" t="s">
        <v>140</v>
      </c>
      <c r="BN46" t="s">
        <v>140</v>
      </c>
      <c r="BO46" t="s">
        <v>140</v>
      </c>
      <c r="BP46" t="s">
        <v>140</v>
      </c>
      <c r="BQ46" t="s">
        <v>140</v>
      </c>
      <c r="BR46" t="s">
        <v>140</v>
      </c>
      <c r="BS46" t="s">
        <v>140</v>
      </c>
      <c r="BT46" t="s">
        <v>140</v>
      </c>
      <c r="BU46" t="s">
        <v>140</v>
      </c>
      <c r="BV46" t="s">
        <v>140</v>
      </c>
      <c r="BW46" t="s">
        <v>140</v>
      </c>
      <c r="BX46" t="s">
        <v>140</v>
      </c>
      <c r="BY46" t="s">
        <v>140</v>
      </c>
      <c r="BZ46" t="s">
        <v>140</v>
      </c>
      <c r="CA46" t="s">
        <v>140</v>
      </c>
      <c r="CB46" t="s">
        <v>140</v>
      </c>
      <c r="CC46" t="s">
        <v>140</v>
      </c>
      <c r="CD46" t="s">
        <v>140</v>
      </c>
      <c r="CE46" t="s">
        <v>140</v>
      </c>
      <c r="CF46" t="s">
        <v>140</v>
      </c>
      <c r="CG46" t="s">
        <v>140</v>
      </c>
      <c r="CH46" t="s">
        <v>140</v>
      </c>
      <c r="CI46" t="s">
        <v>140</v>
      </c>
      <c r="CJ46" t="s">
        <v>140</v>
      </c>
      <c r="CK46" t="s">
        <v>140</v>
      </c>
      <c r="CL46" t="s">
        <v>140</v>
      </c>
      <c r="CM46" t="s">
        <v>140</v>
      </c>
      <c r="CN46" t="s">
        <v>140</v>
      </c>
      <c r="CO46" t="s">
        <v>140</v>
      </c>
      <c r="CP46" t="s">
        <v>140</v>
      </c>
      <c r="CQ46" t="s">
        <v>140</v>
      </c>
      <c r="CR46" t="s">
        <v>140</v>
      </c>
      <c r="CS46" t="s">
        <v>140</v>
      </c>
      <c r="CT46" t="s">
        <v>140</v>
      </c>
      <c r="CU46" t="s">
        <v>140</v>
      </c>
      <c r="CV46" t="s">
        <v>140</v>
      </c>
      <c r="CW46" t="s">
        <v>140</v>
      </c>
      <c r="CX46" t="s">
        <v>140</v>
      </c>
      <c r="CY46" t="s">
        <v>140</v>
      </c>
      <c r="CZ46" t="s">
        <v>140</v>
      </c>
      <c r="DA46" t="s">
        <v>140</v>
      </c>
      <c r="DB46" t="s">
        <v>140</v>
      </c>
      <c r="DC46" s="1">
        <v>0</v>
      </c>
      <c r="DD46" s="1">
        <v>0</v>
      </c>
      <c r="DE46" s="1">
        <v>0</v>
      </c>
      <c r="DF46" s="1">
        <v>0</v>
      </c>
      <c r="DG46" s="1">
        <v>66.320000000000007</v>
      </c>
      <c r="DH46" s="1">
        <v>67.05</v>
      </c>
      <c r="DI46" s="1">
        <v>67.34</v>
      </c>
      <c r="DJ46" s="1">
        <v>68.78</v>
      </c>
      <c r="DK46" s="1">
        <v>70.7</v>
      </c>
      <c r="DL46" s="1">
        <v>70.41</v>
      </c>
      <c r="DM46" s="1">
        <v>70.569999999999993</v>
      </c>
      <c r="DN46" s="1">
        <v>71.319999999999993</v>
      </c>
      <c r="DO46" s="1">
        <v>72.06</v>
      </c>
      <c r="DP46" s="1">
        <v>73.319999999999993</v>
      </c>
      <c r="DQ46" s="1">
        <v>72.66</v>
      </c>
      <c r="DR46" s="1">
        <v>74.13</v>
      </c>
      <c r="DS46" s="1">
        <v>73.98</v>
      </c>
      <c r="DT46" s="1">
        <v>75.02</v>
      </c>
      <c r="DU46" s="1">
        <v>74.650000000000006</v>
      </c>
      <c r="DV46" s="1">
        <v>76.48</v>
      </c>
      <c r="DW46" s="1">
        <v>76.12</v>
      </c>
      <c r="DX46" s="1">
        <v>76.78</v>
      </c>
      <c r="DY46" s="1">
        <v>76.25</v>
      </c>
      <c r="DZ46" s="1">
        <v>76.95</v>
      </c>
      <c r="EA46" s="1">
        <v>76.349999999999994</v>
      </c>
      <c r="EB46" s="1">
        <v>77.03</v>
      </c>
      <c r="EC46" s="1">
        <v>77.149999999999991</v>
      </c>
      <c r="ED46" s="1">
        <v>76.23</v>
      </c>
    </row>
    <row r="47" spans="1:134" x14ac:dyDescent="0.25">
      <c r="A47" t="s">
        <v>167</v>
      </c>
      <c r="B47" s="1">
        <v>64.790000000000006</v>
      </c>
      <c r="C47" s="1">
        <v>66.010000000000005</v>
      </c>
      <c r="D47" s="1">
        <v>67.52</v>
      </c>
      <c r="E47" s="1">
        <v>69.599999999999994</v>
      </c>
      <c r="F47" s="1">
        <v>67.75</v>
      </c>
      <c r="G47" s="1">
        <v>70.309999999999988</v>
      </c>
      <c r="H47" s="1">
        <v>71.87</v>
      </c>
      <c r="I47" s="1">
        <v>72.289999999999992</v>
      </c>
      <c r="J47" s="1">
        <v>72.570000000000007</v>
      </c>
      <c r="K47" s="1">
        <v>72.81</v>
      </c>
      <c r="L47" s="1">
        <v>72.69</v>
      </c>
      <c r="M47" s="1">
        <v>72.69</v>
      </c>
      <c r="N47" t="s">
        <v>141</v>
      </c>
      <c r="O47" t="s">
        <v>140</v>
      </c>
      <c r="P47" t="s">
        <v>140</v>
      </c>
      <c r="Q47" t="s">
        <v>140</v>
      </c>
      <c r="R47" t="s">
        <v>140</v>
      </c>
      <c r="S47" t="s">
        <v>140</v>
      </c>
      <c r="T47" t="s">
        <v>140</v>
      </c>
      <c r="U47" t="s">
        <v>140</v>
      </c>
      <c r="V47" t="s">
        <v>140</v>
      </c>
      <c r="W47" t="s">
        <v>140</v>
      </c>
      <c r="X47" t="s">
        <v>140</v>
      </c>
      <c r="Y47" t="s">
        <v>140</v>
      </c>
      <c r="Z47" t="s">
        <v>140</v>
      </c>
      <c r="AA47" t="s">
        <v>140</v>
      </c>
      <c r="AB47" t="s">
        <v>140</v>
      </c>
      <c r="AC47" t="s">
        <v>140</v>
      </c>
      <c r="AD47" t="s">
        <v>140</v>
      </c>
      <c r="AE47" t="s">
        <v>140</v>
      </c>
      <c r="AF47" t="s">
        <v>140</v>
      </c>
      <c r="AG47" t="s">
        <v>140</v>
      </c>
      <c r="AH47" t="s">
        <v>140</v>
      </c>
      <c r="AI47" t="s">
        <v>140</v>
      </c>
      <c r="AJ47" t="s">
        <v>140</v>
      </c>
      <c r="AK47" t="s">
        <v>140</v>
      </c>
      <c r="AL47" t="s">
        <v>140</v>
      </c>
      <c r="AM47" t="s">
        <v>140</v>
      </c>
      <c r="AN47" t="s">
        <v>140</v>
      </c>
      <c r="AO47" t="s">
        <v>140</v>
      </c>
      <c r="AP47" t="s">
        <v>140</v>
      </c>
      <c r="AQ47" t="s">
        <v>140</v>
      </c>
      <c r="AR47" t="s">
        <v>140</v>
      </c>
      <c r="AS47" t="s">
        <v>140</v>
      </c>
      <c r="AT47" t="s">
        <v>140</v>
      </c>
      <c r="AU47" t="s">
        <v>140</v>
      </c>
      <c r="AV47" t="s">
        <v>140</v>
      </c>
      <c r="AW47" t="s">
        <v>140</v>
      </c>
      <c r="AX47" t="s">
        <v>140</v>
      </c>
      <c r="AY47" t="s">
        <v>140</v>
      </c>
      <c r="AZ47" t="s">
        <v>140</v>
      </c>
      <c r="BA47" t="s">
        <v>140</v>
      </c>
      <c r="BB47" t="s">
        <v>140</v>
      </c>
      <c r="BC47" t="s">
        <v>140</v>
      </c>
      <c r="BD47" t="s">
        <v>140</v>
      </c>
      <c r="BE47" t="s">
        <v>140</v>
      </c>
      <c r="BF47" t="s">
        <v>140</v>
      </c>
      <c r="BG47" t="s">
        <v>140</v>
      </c>
      <c r="BH47" t="s">
        <v>140</v>
      </c>
      <c r="BI47" t="s">
        <v>140</v>
      </c>
      <c r="BJ47" t="s">
        <v>140</v>
      </c>
      <c r="BK47" t="s">
        <v>140</v>
      </c>
      <c r="BL47" t="s">
        <v>140</v>
      </c>
      <c r="BM47" t="s">
        <v>140</v>
      </c>
      <c r="BN47" t="s">
        <v>140</v>
      </c>
      <c r="BO47" t="s">
        <v>140</v>
      </c>
      <c r="BP47" t="s">
        <v>140</v>
      </c>
      <c r="BQ47" t="s">
        <v>140</v>
      </c>
      <c r="BR47" t="s">
        <v>140</v>
      </c>
      <c r="BS47" t="s">
        <v>140</v>
      </c>
      <c r="BT47" t="s">
        <v>140</v>
      </c>
      <c r="BU47" t="s">
        <v>140</v>
      </c>
      <c r="BV47" t="s">
        <v>140</v>
      </c>
      <c r="BW47" t="s">
        <v>140</v>
      </c>
      <c r="BX47" t="s">
        <v>140</v>
      </c>
      <c r="BY47" t="s">
        <v>140</v>
      </c>
      <c r="BZ47" t="s">
        <v>140</v>
      </c>
      <c r="CA47" t="s">
        <v>140</v>
      </c>
      <c r="CB47" t="s">
        <v>140</v>
      </c>
      <c r="CC47" t="s">
        <v>140</v>
      </c>
      <c r="CD47" t="s">
        <v>140</v>
      </c>
      <c r="CE47" t="s">
        <v>140</v>
      </c>
      <c r="CF47" t="s">
        <v>140</v>
      </c>
      <c r="CG47" t="s">
        <v>140</v>
      </c>
      <c r="CH47" t="s">
        <v>140</v>
      </c>
      <c r="CI47" t="s">
        <v>140</v>
      </c>
      <c r="CJ47" t="s">
        <v>140</v>
      </c>
      <c r="CK47" t="s">
        <v>140</v>
      </c>
      <c r="CL47" t="s">
        <v>140</v>
      </c>
      <c r="CM47" t="s">
        <v>140</v>
      </c>
      <c r="CN47" t="s">
        <v>140</v>
      </c>
      <c r="CO47" t="s">
        <v>140</v>
      </c>
      <c r="CP47" t="s">
        <v>140</v>
      </c>
      <c r="CQ47" t="s">
        <v>140</v>
      </c>
      <c r="CR47" t="s">
        <v>140</v>
      </c>
      <c r="CS47" t="s">
        <v>140</v>
      </c>
      <c r="CT47" t="s">
        <v>140</v>
      </c>
      <c r="CU47" t="s">
        <v>140</v>
      </c>
      <c r="CV47" t="s">
        <v>140</v>
      </c>
      <c r="CW47" t="s">
        <v>140</v>
      </c>
      <c r="CX47" t="s">
        <v>140</v>
      </c>
      <c r="CY47" t="s">
        <v>140</v>
      </c>
      <c r="CZ47" t="s">
        <v>140</v>
      </c>
      <c r="DA47" t="s">
        <v>140</v>
      </c>
      <c r="DB47" t="s">
        <v>140</v>
      </c>
      <c r="DC47" s="1">
        <v>0</v>
      </c>
      <c r="DD47" s="1">
        <v>0</v>
      </c>
      <c r="DE47" s="1">
        <v>0</v>
      </c>
      <c r="DF47" s="1">
        <v>0</v>
      </c>
      <c r="DG47" s="1">
        <v>226.13</v>
      </c>
      <c r="DH47" s="1">
        <v>294.03999999999996</v>
      </c>
      <c r="DI47" s="1">
        <v>188.63</v>
      </c>
      <c r="DJ47" s="1">
        <v>-54.03</v>
      </c>
      <c r="DK47" s="1">
        <v>65.600000000000009</v>
      </c>
      <c r="DL47" s="1">
        <v>66.400000000000006</v>
      </c>
      <c r="DM47" s="1">
        <v>67.31</v>
      </c>
      <c r="DN47" s="1">
        <v>67.72</v>
      </c>
      <c r="DO47" s="1">
        <v>69.02000000000001</v>
      </c>
      <c r="DP47" s="1">
        <v>70.150000000000006</v>
      </c>
      <c r="DQ47" s="1">
        <v>65.2</v>
      </c>
      <c r="DR47" s="1">
        <v>70.25</v>
      </c>
      <c r="DS47" s="1">
        <v>70.08</v>
      </c>
      <c r="DT47" s="1">
        <v>70.52000000000001</v>
      </c>
      <c r="DU47" s="1">
        <v>71.25</v>
      </c>
      <c r="DV47" s="1">
        <v>72.5</v>
      </c>
      <c r="DW47" s="1">
        <v>72.38</v>
      </c>
      <c r="DX47" s="1">
        <v>72.209999999999994</v>
      </c>
      <c r="DY47" s="1">
        <v>73.180000000000007</v>
      </c>
      <c r="DZ47" s="1">
        <v>71.98</v>
      </c>
      <c r="EA47" s="1">
        <v>72.58</v>
      </c>
      <c r="EB47" s="1">
        <v>73.040000000000006</v>
      </c>
      <c r="EC47" s="1">
        <v>72.94</v>
      </c>
      <c r="ED47" s="1">
        <v>72.460000000000008</v>
      </c>
    </row>
    <row r="48" spans="1:134" x14ac:dyDescent="0.25">
      <c r="A48" t="s">
        <v>168</v>
      </c>
      <c r="B48" s="1">
        <v>285.45</v>
      </c>
      <c r="C48" s="1">
        <v>161.87</v>
      </c>
      <c r="D48" s="1">
        <v>323.72999999999996</v>
      </c>
      <c r="E48" s="1">
        <v>241.86</v>
      </c>
      <c r="F48" s="1">
        <v>352.58</v>
      </c>
      <c r="G48" s="1">
        <v>186.44</v>
      </c>
      <c r="H48" s="1">
        <v>191.37</v>
      </c>
      <c r="I48" s="1">
        <v>476.51000000000005</v>
      </c>
      <c r="J48" s="1">
        <v>202.54</v>
      </c>
      <c r="K48" s="1">
        <v>-159.75</v>
      </c>
      <c r="L48" s="1">
        <v>11.03</v>
      </c>
      <c r="M48" s="1">
        <v>11.03</v>
      </c>
      <c r="N48" t="s">
        <v>141</v>
      </c>
      <c r="O48" t="s">
        <v>140</v>
      </c>
      <c r="P48" t="s">
        <v>140</v>
      </c>
      <c r="Q48" t="s">
        <v>140</v>
      </c>
      <c r="R48" t="s">
        <v>140</v>
      </c>
      <c r="S48" t="s">
        <v>140</v>
      </c>
      <c r="T48" t="s">
        <v>140</v>
      </c>
      <c r="U48" t="s">
        <v>140</v>
      </c>
      <c r="V48" t="s">
        <v>140</v>
      </c>
      <c r="W48" t="s">
        <v>140</v>
      </c>
      <c r="X48" t="s">
        <v>140</v>
      </c>
      <c r="Y48" t="s">
        <v>140</v>
      </c>
      <c r="Z48" t="s">
        <v>140</v>
      </c>
      <c r="AA48" t="s">
        <v>140</v>
      </c>
      <c r="AB48" t="s">
        <v>140</v>
      </c>
      <c r="AC48" t="s">
        <v>140</v>
      </c>
      <c r="AD48" t="s">
        <v>140</v>
      </c>
      <c r="AE48" t="s">
        <v>140</v>
      </c>
      <c r="AF48" t="s">
        <v>140</v>
      </c>
      <c r="AG48" t="s">
        <v>140</v>
      </c>
      <c r="AH48" t="s">
        <v>140</v>
      </c>
      <c r="AI48" t="s">
        <v>140</v>
      </c>
      <c r="AJ48" t="s">
        <v>140</v>
      </c>
      <c r="AK48" t="s">
        <v>140</v>
      </c>
      <c r="AL48" t="s">
        <v>140</v>
      </c>
      <c r="AM48" t="s">
        <v>140</v>
      </c>
      <c r="AN48" t="s">
        <v>140</v>
      </c>
      <c r="AO48" t="s">
        <v>140</v>
      </c>
      <c r="AP48" t="s">
        <v>140</v>
      </c>
      <c r="AQ48" t="s">
        <v>140</v>
      </c>
      <c r="AR48" t="s">
        <v>140</v>
      </c>
      <c r="AS48" t="s">
        <v>140</v>
      </c>
      <c r="AT48" t="s">
        <v>140</v>
      </c>
      <c r="AU48" t="s">
        <v>140</v>
      </c>
      <c r="AV48" t="s">
        <v>140</v>
      </c>
      <c r="AW48" t="s">
        <v>140</v>
      </c>
      <c r="AX48" t="s">
        <v>140</v>
      </c>
      <c r="AY48" t="s">
        <v>140</v>
      </c>
      <c r="AZ48" t="s">
        <v>140</v>
      </c>
      <c r="BA48" t="s">
        <v>140</v>
      </c>
      <c r="BB48" t="s">
        <v>140</v>
      </c>
      <c r="BC48" t="s">
        <v>140</v>
      </c>
      <c r="BD48" t="s">
        <v>140</v>
      </c>
      <c r="BE48" t="s">
        <v>140</v>
      </c>
      <c r="BF48" t="s">
        <v>140</v>
      </c>
      <c r="BG48" t="s">
        <v>140</v>
      </c>
      <c r="BH48" t="s">
        <v>140</v>
      </c>
      <c r="BI48" t="s">
        <v>140</v>
      </c>
      <c r="BJ48" t="s">
        <v>140</v>
      </c>
      <c r="BK48" t="s">
        <v>140</v>
      </c>
      <c r="BL48" t="s">
        <v>140</v>
      </c>
      <c r="BM48" t="s">
        <v>140</v>
      </c>
      <c r="BN48" t="s">
        <v>140</v>
      </c>
      <c r="BO48" t="s">
        <v>140</v>
      </c>
      <c r="BP48" t="s">
        <v>140</v>
      </c>
      <c r="BQ48" t="s">
        <v>140</v>
      </c>
      <c r="BR48" t="s">
        <v>140</v>
      </c>
      <c r="BS48" t="s">
        <v>140</v>
      </c>
      <c r="BT48" t="s">
        <v>140</v>
      </c>
      <c r="BU48" t="s">
        <v>140</v>
      </c>
      <c r="BV48" t="s">
        <v>140</v>
      </c>
      <c r="BW48" t="s">
        <v>140</v>
      </c>
      <c r="BX48" t="s">
        <v>140</v>
      </c>
      <c r="BY48" t="s">
        <v>140</v>
      </c>
      <c r="BZ48" t="s">
        <v>140</v>
      </c>
      <c r="CA48" t="s">
        <v>140</v>
      </c>
      <c r="CB48" t="s">
        <v>140</v>
      </c>
      <c r="CC48" t="s">
        <v>140</v>
      </c>
      <c r="CD48" t="s">
        <v>140</v>
      </c>
      <c r="CE48" t="s">
        <v>140</v>
      </c>
      <c r="CF48" t="s">
        <v>140</v>
      </c>
      <c r="CG48" t="s">
        <v>140</v>
      </c>
      <c r="CH48" t="s">
        <v>140</v>
      </c>
      <c r="CI48" t="s">
        <v>140</v>
      </c>
      <c r="CJ48" t="s">
        <v>140</v>
      </c>
      <c r="CK48" t="s">
        <v>140</v>
      </c>
      <c r="CL48" t="s">
        <v>140</v>
      </c>
      <c r="CM48" t="s">
        <v>140</v>
      </c>
      <c r="CN48" t="s">
        <v>140</v>
      </c>
      <c r="CO48" t="s">
        <v>140</v>
      </c>
      <c r="CP48" t="s">
        <v>140</v>
      </c>
      <c r="CQ48" t="s">
        <v>140</v>
      </c>
      <c r="CR48" t="s">
        <v>140</v>
      </c>
      <c r="CS48" t="s">
        <v>140</v>
      </c>
      <c r="CT48" t="s">
        <v>140</v>
      </c>
      <c r="CU48" t="s">
        <v>140</v>
      </c>
      <c r="CV48" t="s">
        <v>140</v>
      </c>
      <c r="CW48" t="s">
        <v>140</v>
      </c>
      <c r="CX48" t="s">
        <v>140</v>
      </c>
      <c r="CY48" t="s">
        <v>140</v>
      </c>
      <c r="CZ48" t="s">
        <v>140</v>
      </c>
      <c r="DA48" t="s">
        <v>140</v>
      </c>
      <c r="DB48" t="s">
        <v>140</v>
      </c>
      <c r="DC48" s="1">
        <v>0</v>
      </c>
      <c r="DD48" s="1">
        <v>0</v>
      </c>
      <c r="DE48" s="1">
        <v>0</v>
      </c>
      <c r="DF48" s="1">
        <v>0</v>
      </c>
      <c r="DG48" s="1">
        <v>179.66</v>
      </c>
      <c r="DH48" s="1">
        <v>297.88</v>
      </c>
      <c r="DI48" s="1">
        <v>169.32</v>
      </c>
      <c r="DJ48" s="1">
        <v>396.85</v>
      </c>
      <c r="DK48" s="1">
        <v>162.52000000000001</v>
      </c>
      <c r="DL48" s="1">
        <v>161.25</v>
      </c>
      <c r="DM48" s="1">
        <v>263.25</v>
      </c>
      <c r="DN48" s="1">
        <v>382.16999999999996</v>
      </c>
      <c r="DO48" s="1">
        <v>202.55</v>
      </c>
      <c r="DP48" s="1">
        <v>279.36</v>
      </c>
      <c r="DQ48" s="1">
        <v>444.7</v>
      </c>
      <c r="DR48" s="1">
        <v>261.96000000000004</v>
      </c>
      <c r="DS48" s="1">
        <v>191.37</v>
      </c>
      <c r="DT48" s="1">
        <v>181.91</v>
      </c>
      <c r="DU48" s="1">
        <v>129.19</v>
      </c>
      <c r="DV48" s="1">
        <v>253.01999999999998</v>
      </c>
      <c r="DW48" s="1">
        <v>245.14000000000001</v>
      </c>
      <c r="DX48" s="1">
        <v>702.18999999999994</v>
      </c>
      <c r="DY48" s="1">
        <v>187.14</v>
      </c>
      <c r="DZ48" s="1">
        <v>217.41000000000003</v>
      </c>
      <c r="EA48" s="1">
        <v>126.44</v>
      </c>
      <c r="EB48" s="1">
        <v>-443.07</v>
      </c>
      <c r="EC48" s="1">
        <v>-78.22</v>
      </c>
      <c r="ED48" s="1">
        <v>95.77</v>
      </c>
    </row>
    <row r="49" spans="1:134" x14ac:dyDescent="0.25">
      <c r="A49" t="s">
        <v>169</v>
      </c>
      <c r="B49" s="1">
        <v>62.56</v>
      </c>
      <c r="C49" s="1">
        <v>63.1</v>
      </c>
      <c r="D49" s="1">
        <v>64.16</v>
      </c>
      <c r="E49" s="1">
        <v>64.86</v>
      </c>
      <c r="F49" s="1">
        <v>62.51</v>
      </c>
      <c r="G49" s="1">
        <v>64.81</v>
      </c>
      <c r="H49" s="1">
        <v>65.239999999999995</v>
      </c>
      <c r="I49" s="1">
        <v>64.31</v>
      </c>
      <c r="J49" s="1">
        <v>58.699999999999996</v>
      </c>
      <c r="K49" s="1">
        <v>56.04</v>
      </c>
      <c r="L49" s="1">
        <v>65.53</v>
      </c>
      <c r="M49" s="1">
        <v>65.53</v>
      </c>
      <c r="N49" t="s">
        <v>141</v>
      </c>
      <c r="O49" t="s">
        <v>140</v>
      </c>
      <c r="P49" t="s">
        <v>140</v>
      </c>
      <c r="Q49" t="s">
        <v>140</v>
      </c>
      <c r="R49" t="s">
        <v>140</v>
      </c>
      <c r="S49" t="s">
        <v>140</v>
      </c>
      <c r="T49" t="s">
        <v>140</v>
      </c>
      <c r="U49" t="s">
        <v>140</v>
      </c>
      <c r="V49" t="s">
        <v>140</v>
      </c>
      <c r="W49" t="s">
        <v>140</v>
      </c>
      <c r="X49" t="s">
        <v>140</v>
      </c>
      <c r="Y49" t="s">
        <v>140</v>
      </c>
      <c r="Z49" t="s">
        <v>140</v>
      </c>
      <c r="AA49" t="s">
        <v>140</v>
      </c>
      <c r="AB49" t="s">
        <v>140</v>
      </c>
      <c r="AC49" t="s">
        <v>140</v>
      </c>
      <c r="AD49" t="s">
        <v>140</v>
      </c>
      <c r="AE49" t="s">
        <v>140</v>
      </c>
      <c r="AF49" t="s">
        <v>140</v>
      </c>
      <c r="AG49" t="s">
        <v>140</v>
      </c>
      <c r="AH49" t="s">
        <v>140</v>
      </c>
      <c r="AI49" t="s">
        <v>140</v>
      </c>
      <c r="AJ49" t="s">
        <v>140</v>
      </c>
      <c r="AK49" t="s">
        <v>140</v>
      </c>
      <c r="AL49" t="s">
        <v>140</v>
      </c>
      <c r="AM49" t="s">
        <v>140</v>
      </c>
      <c r="AN49" t="s">
        <v>140</v>
      </c>
      <c r="AO49" t="s">
        <v>140</v>
      </c>
      <c r="AP49" t="s">
        <v>140</v>
      </c>
      <c r="AQ49" t="s">
        <v>140</v>
      </c>
      <c r="AR49" t="s">
        <v>140</v>
      </c>
      <c r="AS49" t="s">
        <v>140</v>
      </c>
      <c r="AT49" t="s">
        <v>140</v>
      </c>
      <c r="AU49" t="s">
        <v>140</v>
      </c>
      <c r="AV49" t="s">
        <v>140</v>
      </c>
      <c r="AW49" t="s">
        <v>140</v>
      </c>
      <c r="AX49" t="s">
        <v>140</v>
      </c>
      <c r="AY49" t="s">
        <v>140</v>
      </c>
      <c r="AZ49" t="s">
        <v>140</v>
      </c>
      <c r="BA49" t="s">
        <v>140</v>
      </c>
      <c r="BB49" t="s">
        <v>140</v>
      </c>
      <c r="BC49" t="s">
        <v>140</v>
      </c>
      <c r="BD49" t="s">
        <v>140</v>
      </c>
      <c r="BE49" t="s">
        <v>140</v>
      </c>
      <c r="BF49" t="s">
        <v>140</v>
      </c>
      <c r="BG49" t="s">
        <v>140</v>
      </c>
      <c r="BH49" t="s">
        <v>140</v>
      </c>
      <c r="BI49" t="s">
        <v>140</v>
      </c>
      <c r="BJ49" t="s">
        <v>140</v>
      </c>
      <c r="BK49" t="s">
        <v>140</v>
      </c>
      <c r="BL49" t="s">
        <v>140</v>
      </c>
      <c r="BM49" t="s">
        <v>140</v>
      </c>
      <c r="BN49" t="s">
        <v>140</v>
      </c>
      <c r="BO49" t="s">
        <v>140</v>
      </c>
      <c r="BP49" t="s">
        <v>140</v>
      </c>
      <c r="BQ49" t="s">
        <v>140</v>
      </c>
      <c r="BR49" t="s">
        <v>140</v>
      </c>
      <c r="BS49" t="s">
        <v>140</v>
      </c>
      <c r="BT49" t="s">
        <v>140</v>
      </c>
      <c r="BU49" t="s">
        <v>140</v>
      </c>
      <c r="BV49" t="s">
        <v>140</v>
      </c>
      <c r="BW49" t="s">
        <v>140</v>
      </c>
      <c r="BX49" t="s">
        <v>140</v>
      </c>
      <c r="BY49" t="s">
        <v>140</v>
      </c>
      <c r="BZ49" t="s">
        <v>140</v>
      </c>
      <c r="CA49" t="s">
        <v>140</v>
      </c>
      <c r="CB49" t="s">
        <v>140</v>
      </c>
      <c r="CC49" t="s">
        <v>140</v>
      </c>
      <c r="CD49" t="s">
        <v>140</v>
      </c>
      <c r="CE49" t="s">
        <v>140</v>
      </c>
      <c r="CF49" t="s">
        <v>140</v>
      </c>
      <c r="CG49" t="s">
        <v>140</v>
      </c>
      <c r="CH49" t="s">
        <v>140</v>
      </c>
      <c r="CI49" t="s">
        <v>140</v>
      </c>
      <c r="CJ49" t="s">
        <v>140</v>
      </c>
      <c r="CK49" t="s">
        <v>140</v>
      </c>
      <c r="CL49" t="s">
        <v>140</v>
      </c>
      <c r="CM49" t="s">
        <v>140</v>
      </c>
      <c r="CN49" t="s">
        <v>140</v>
      </c>
      <c r="CO49" t="s">
        <v>140</v>
      </c>
      <c r="CP49" t="s">
        <v>140</v>
      </c>
      <c r="CQ49" t="s">
        <v>140</v>
      </c>
      <c r="CR49" t="s">
        <v>140</v>
      </c>
      <c r="CS49" t="s">
        <v>140</v>
      </c>
      <c r="CT49" t="s">
        <v>140</v>
      </c>
      <c r="CU49" t="s">
        <v>140</v>
      </c>
      <c r="CV49" t="s">
        <v>140</v>
      </c>
      <c r="CW49" t="s">
        <v>140</v>
      </c>
      <c r="CX49" t="s">
        <v>140</v>
      </c>
      <c r="CY49" t="s">
        <v>140</v>
      </c>
      <c r="CZ49" t="s">
        <v>140</v>
      </c>
      <c r="DA49" t="s">
        <v>140</v>
      </c>
      <c r="DB49" t="s">
        <v>140</v>
      </c>
      <c r="DC49" s="1">
        <v>0</v>
      </c>
      <c r="DD49" s="1">
        <v>0</v>
      </c>
      <c r="DE49" s="1">
        <v>0</v>
      </c>
      <c r="DF49" s="1">
        <v>0</v>
      </c>
      <c r="DG49" s="1">
        <v>44.379999999999995</v>
      </c>
      <c r="DH49" s="1">
        <v>45.45</v>
      </c>
      <c r="DI49" s="1">
        <v>50.629999999999995</v>
      </c>
      <c r="DJ49" s="1">
        <v>74.009999999999991</v>
      </c>
      <c r="DK49" s="1">
        <v>63.7</v>
      </c>
      <c r="DL49" s="1">
        <v>62.529999999999994</v>
      </c>
      <c r="DM49" s="1">
        <v>65.78</v>
      </c>
      <c r="DN49" s="1">
        <v>62.59</v>
      </c>
      <c r="DO49" s="1">
        <v>66.42</v>
      </c>
      <c r="DP49" s="1">
        <v>63.38</v>
      </c>
      <c r="DQ49" s="1">
        <v>65.98</v>
      </c>
      <c r="DR49" s="1">
        <v>59.11</v>
      </c>
      <c r="DS49" s="1">
        <v>67.72</v>
      </c>
      <c r="DT49" s="1">
        <v>62.129999999999995</v>
      </c>
      <c r="DU49" s="1">
        <v>67.95</v>
      </c>
      <c r="DV49" s="1">
        <v>62.56</v>
      </c>
      <c r="DW49" s="1">
        <v>68.320000000000007</v>
      </c>
      <c r="DX49" s="1">
        <v>60.41</v>
      </c>
      <c r="DY49" s="1">
        <v>57.120000000000005</v>
      </c>
      <c r="DZ49" s="1">
        <v>60.23</v>
      </c>
      <c r="EA49" s="1">
        <v>58.609999999999992</v>
      </c>
      <c r="EB49" s="1">
        <v>53.49</v>
      </c>
      <c r="EC49" s="1">
        <v>60.140000000000008</v>
      </c>
      <c r="ED49" s="1">
        <v>70.66</v>
      </c>
    </row>
    <row r="50" spans="1:134" x14ac:dyDescent="0.25">
      <c r="A50" t="s">
        <v>170</v>
      </c>
      <c r="B50" s="1">
        <v>0.189</v>
      </c>
      <c r="C50" s="1">
        <v>0.20100000000000001</v>
      </c>
      <c r="D50" s="1">
        <v>0.16600000000000001</v>
      </c>
      <c r="E50" s="1">
        <v>0.13</v>
      </c>
      <c r="F50" s="1">
        <v>0.14499999999999999</v>
      </c>
      <c r="G50" s="1">
        <v>0.21099999999999999</v>
      </c>
      <c r="H50" s="1">
        <v>0.19900000000000001</v>
      </c>
      <c r="I50" s="1">
        <v>0.14399999999999999</v>
      </c>
      <c r="J50" s="1">
        <v>0.128</v>
      </c>
      <c r="K50" s="1">
        <v>0.217</v>
      </c>
      <c r="L50" s="1">
        <v>0.24299999999999999</v>
      </c>
      <c r="M50" s="1">
        <v>0.24299999999999999</v>
      </c>
      <c r="N50" t="s">
        <v>141</v>
      </c>
      <c r="O50" t="s">
        <v>140</v>
      </c>
      <c r="P50" t="s">
        <v>140</v>
      </c>
      <c r="Q50" t="s">
        <v>140</v>
      </c>
      <c r="R50" t="s">
        <v>140</v>
      </c>
      <c r="S50" t="s">
        <v>140</v>
      </c>
      <c r="T50" t="s">
        <v>140</v>
      </c>
      <c r="U50" t="s">
        <v>140</v>
      </c>
      <c r="V50" t="s">
        <v>140</v>
      </c>
      <c r="W50" t="s">
        <v>140</v>
      </c>
      <c r="X50" t="s">
        <v>140</v>
      </c>
      <c r="Y50" t="s">
        <v>140</v>
      </c>
      <c r="Z50" t="s">
        <v>140</v>
      </c>
      <c r="AA50" t="s">
        <v>140</v>
      </c>
      <c r="AB50" t="s">
        <v>140</v>
      </c>
      <c r="AC50" t="s">
        <v>140</v>
      </c>
      <c r="AD50" t="s">
        <v>140</v>
      </c>
      <c r="AE50" t="s">
        <v>140</v>
      </c>
      <c r="AF50" t="s">
        <v>140</v>
      </c>
      <c r="AG50" t="s">
        <v>140</v>
      </c>
      <c r="AH50" t="s">
        <v>140</v>
      </c>
      <c r="AI50" t="s">
        <v>140</v>
      </c>
      <c r="AJ50" t="s">
        <v>140</v>
      </c>
      <c r="AK50" t="s">
        <v>140</v>
      </c>
      <c r="AL50" t="s">
        <v>140</v>
      </c>
      <c r="AM50" t="s">
        <v>140</v>
      </c>
      <c r="AN50" t="s">
        <v>140</v>
      </c>
      <c r="AO50" t="s">
        <v>140</v>
      </c>
      <c r="AP50" t="s">
        <v>140</v>
      </c>
      <c r="AQ50" t="s">
        <v>140</v>
      </c>
      <c r="AR50" t="s">
        <v>140</v>
      </c>
      <c r="AS50" t="s">
        <v>140</v>
      </c>
      <c r="AT50" t="s">
        <v>140</v>
      </c>
      <c r="AU50" t="s">
        <v>140</v>
      </c>
      <c r="AV50" t="s">
        <v>140</v>
      </c>
      <c r="AW50" t="s">
        <v>140</v>
      </c>
      <c r="AX50" t="s">
        <v>140</v>
      </c>
      <c r="AY50" t="s">
        <v>140</v>
      </c>
      <c r="AZ50" t="s">
        <v>140</v>
      </c>
      <c r="BA50" t="s">
        <v>140</v>
      </c>
      <c r="BB50" t="s">
        <v>140</v>
      </c>
      <c r="BC50" t="s">
        <v>140</v>
      </c>
      <c r="BD50" t="s">
        <v>140</v>
      </c>
      <c r="BE50" t="s">
        <v>140</v>
      </c>
      <c r="BF50" t="s">
        <v>140</v>
      </c>
      <c r="BG50" t="s">
        <v>140</v>
      </c>
      <c r="BH50" t="s">
        <v>140</v>
      </c>
      <c r="BI50" t="s">
        <v>140</v>
      </c>
      <c r="BJ50" t="s">
        <v>140</v>
      </c>
      <c r="BK50" t="s">
        <v>140</v>
      </c>
      <c r="BL50" t="s">
        <v>140</v>
      </c>
      <c r="BM50" t="s">
        <v>140</v>
      </c>
      <c r="BN50" t="s">
        <v>140</v>
      </c>
      <c r="BO50" t="s">
        <v>140</v>
      </c>
      <c r="BP50" t="s">
        <v>140</v>
      </c>
      <c r="BQ50" t="s">
        <v>140</v>
      </c>
      <c r="BR50" t="s">
        <v>140</v>
      </c>
      <c r="BS50" t="s">
        <v>140</v>
      </c>
      <c r="BT50" t="s">
        <v>140</v>
      </c>
      <c r="BU50" t="s">
        <v>140</v>
      </c>
      <c r="BV50" t="s">
        <v>140</v>
      </c>
      <c r="BW50" t="s">
        <v>140</v>
      </c>
      <c r="BX50" t="s">
        <v>140</v>
      </c>
      <c r="BY50" t="s">
        <v>140</v>
      </c>
      <c r="BZ50" t="s">
        <v>140</v>
      </c>
      <c r="CA50" t="s">
        <v>140</v>
      </c>
      <c r="CB50" t="s">
        <v>140</v>
      </c>
      <c r="CC50" t="s">
        <v>140</v>
      </c>
      <c r="CD50" t="s">
        <v>140</v>
      </c>
      <c r="CE50" t="s">
        <v>140</v>
      </c>
      <c r="CF50" t="s">
        <v>140</v>
      </c>
      <c r="CG50" t="s">
        <v>140</v>
      </c>
      <c r="CH50" t="s">
        <v>140</v>
      </c>
      <c r="CI50" t="s">
        <v>140</v>
      </c>
      <c r="CJ50" t="s">
        <v>140</v>
      </c>
      <c r="CK50" t="s">
        <v>140</v>
      </c>
      <c r="CL50" t="s">
        <v>140</v>
      </c>
      <c r="CM50" t="s">
        <v>140</v>
      </c>
      <c r="CN50" t="s">
        <v>140</v>
      </c>
      <c r="CO50" t="s">
        <v>140</v>
      </c>
      <c r="CP50" t="s">
        <v>140</v>
      </c>
      <c r="CQ50" t="s">
        <v>140</v>
      </c>
      <c r="CR50" t="s">
        <v>140</v>
      </c>
      <c r="CS50" t="s">
        <v>140</v>
      </c>
      <c r="CT50" t="s">
        <v>140</v>
      </c>
      <c r="CU50" t="s">
        <v>140</v>
      </c>
      <c r="CV50" t="s">
        <v>140</v>
      </c>
      <c r="CW50" t="s">
        <v>140</v>
      </c>
      <c r="CX50" t="s">
        <v>140</v>
      </c>
      <c r="CY50" t="s">
        <v>140</v>
      </c>
      <c r="CZ50" t="s">
        <v>140</v>
      </c>
      <c r="DA50" t="s">
        <v>140</v>
      </c>
      <c r="DB50" t="s">
        <v>140</v>
      </c>
      <c r="DC50" s="1">
        <v>0.51300000000000001</v>
      </c>
      <c r="DD50" s="1">
        <v>0.45500000000000002</v>
      </c>
      <c r="DE50" s="1">
        <v>0.41099999999999998</v>
      </c>
      <c r="DF50" s="1">
        <v>0.41199999999999998</v>
      </c>
      <c r="DG50" t="s">
        <v>140</v>
      </c>
      <c r="DH50" s="1">
        <v>0.26400000000000001</v>
      </c>
      <c r="DI50" s="1">
        <v>0.25800000000000001</v>
      </c>
      <c r="DJ50" s="1">
        <v>0.189</v>
      </c>
      <c r="DK50" s="1">
        <v>0.21299999999999999</v>
      </c>
      <c r="DL50" s="1">
        <v>0.20100000000000001</v>
      </c>
      <c r="DM50" s="1">
        <v>0.185</v>
      </c>
      <c r="DN50" s="1">
        <v>0.16600000000000001</v>
      </c>
      <c r="DO50" s="1">
        <v>0.13700000000000001</v>
      </c>
      <c r="DP50" s="1">
        <v>0.13</v>
      </c>
      <c r="DQ50" s="1">
        <v>0.129</v>
      </c>
      <c r="DR50" s="1">
        <v>0.14499999999999999</v>
      </c>
      <c r="DS50" s="1">
        <v>0.218</v>
      </c>
      <c r="DT50" s="1">
        <v>0.21099999999999999</v>
      </c>
      <c r="DU50" s="1">
        <v>0.22900000000000001</v>
      </c>
      <c r="DV50" s="1">
        <v>0.19900000000000001</v>
      </c>
      <c r="DW50" s="1">
        <v>0.22600000000000001</v>
      </c>
      <c r="DX50" s="1">
        <v>0.14399999999999999</v>
      </c>
      <c r="DY50" s="1">
        <v>0.123</v>
      </c>
      <c r="DZ50" s="1">
        <v>0.128</v>
      </c>
      <c r="EA50" s="1">
        <v>0.14599999999999999</v>
      </c>
      <c r="EB50" s="1">
        <v>0.217</v>
      </c>
      <c r="EC50" s="1">
        <v>0.23400000000000001</v>
      </c>
      <c r="ED50" s="1">
        <v>0.24299999999999999</v>
      </c>
    </row>
    <row r="51" spans="1:134" x14ac:dyDescent="0.25">
      <c r="A51" t="s">
        <v>171</v>
      </c>
      <c r="B51" s="1">
        <v>0.8</v>
      </c>
      <c r="C51" s="1">
        <v>0.79200000000000004</v>
      </c>
      <c r="D51" s="1">
        <v>0.82099999999999995</v>
      </c>
      <c r="E51" s="1">
        <v>0.84899999999999998</v>
      </c>
      <c r="F51" s="1">
        <v>0.82499999999999996</v>
      </c>
      <c r="G51" s="1">
        <v>0.77900000000000003</v>
      </c>
      <c r="H51" s="1">
        <v>0.78600000000000003</v>
      </c>
      <c r="I51" s="1">
        <v>0.82499999999999996</v>
      </c>
      <c r="J51" s="1">
        <v>0.83199999999999996</v>
      </c>
      <c r="K51" s="1">
        <v>0.76900000000000002</v>
      </c>
      <c r="L51" s="1">
        <v>0.75600000000000001</v>
      </c>
      <c r="M51" s="1">
        <v>0.75600000000000001</v>
      </c>
      <c r="N51" t="s">
        <v>141</v>
      </c>
      <c r="O51" t="s">
        <v>140</v>
      </c>
      <c r="P51" t="s">
        <v>140</v>
      </c>
      <c r="Q51" t="s">
        <v>140</v>
      </c>
      <c r="R51" t="s">
        <v>140</v>
      </c>
      <c r="S51" t="s">
        <v>140</v>
      </c>
      <c r="T51" t="s">
        <v>140</v>
      </c>
      <c r="U51" t="s">
        <v>140</v>
      </c>
      <c r="V51" t="s">
        <v>140</v>
      </c>
      <c r="W51" t="s">
        <v>140</v>
      </c>
      <c r="X51" t="s">
        <v>140</v>
      </c>
      <c r="Y51" t="s">
        <v>140</v>
      </c>
      <c r="Z51" t="s">
        <v>140</v>
      </c>
      <c r="AA51" t="s">
        <v>140</v>
      </c>
      <c r="AB51" t="s">
        <v>140</v>
      </c>
      <c r="AC51" t="s">
        <v>140</v>
      </c>
      <c r="AD51" t="s">
        <v>140</v>
      </c>
      <c r="AE51" t="s">
        <v>140</v>
      </c>
      <c r="AF51" t="s">
        <v>140</v>
      </c>
      <c r="AG51" t="s">
        <v>140</v>
      </c>
      <c r="AH51" t="s">
        <v>140</v>
      </c>
      <c r="AI51" t="s">
        <v>140</v>
      </c>
      <c r="AJ51" t="s">
        <v>140</v>
      </c>
      <c r="AK51" t="s">
        <v>140</v>
      </c>
      <c r="AL51" t="s">
        <v>140</v>
      </c>
      <c r="AM51" t="s">
        <v>140</v>
      </c>
      <c r="AN51" t="s">
        <v>140</v>
      </c>
      <c r="AO51" t="s">
        <v>140</v>
      </c>
      <c r="AP51" t="s">
        <v>140</v>
      </c>
      <c r="AQ51" t="s">
        <v>140</v>
      </c>
      <c r="AR51" t="s">
        <v>140</v>
      </c>
      <c r="AS51" t="s">
        <v>140</v>
      </c>
      <c r="AT51" t="s">
        <v>140</v>
      </c>
      <c r="AU51" t="s">
        <v>140</v>
      </c>
      <c r="AV51" t="s">
        <v>140</v>
      </c>
      <c r="AW51" t="s">
        <v>140</v>
      </c>
      <c r="AX51" t="s">
        <v>140</v>
      </c>
      <c r="AY51" t="s">
        <v>140</v>
      </c>
      <c r="AZ51" t="s">
        <v>140</v>
      </c>
      <c r="BA51" t="s">
        <v>140</v>
      </c>
      <c r="BB51" t="s">
        <v>140</v>
      </c>
      <c r="BC51" t="s">
        <v>140</v>
      </c>
      <c r="BD51" t="s">
        <v>140</v>
      </c>
      <c r="BE51" t="s">
        <v>140</v>
      </c>
      <c r="BF51" t="s">
        <v>140</v>
      </c>
      <c r="BG51" t="s">
        <v>140</v>
      </c>
      <c r="BH51" t="s">
        <v>140</v>
      </c>
      <c r="BI51" t="s">
        <v>140</v>
      </c>
      <c r="BJ51" t="s">
        <v>140</v>
      </c>
      <c r="BK51" t="s">
        <v>140</v>
      </c>
      <c r="BL51" t="s">
        <v>140</v>
      </c>
      <c r="BM51" t="s">
        <v>140</v>
      </c>
      <c r="BN51" t="s">
        <v>140</v>
      </c>
      <c r="BO51" t="s">
        <v>140</v>
      </c>
      <c r="BP51" t="s">
        <v>140</v>
      </c>
      <c r="BQ51" t="s">
        <v>140</v>
      </c>
      <c r="BR51" t="s">
        <v>140</v>
      </c>
      <c r="BS51" t="s">
        <v>140</v>
      </c>
      <c r="BT51" t="s">
        <v>140</v>
      </c>
      <c r="BU51" t="s">
        <v>140</v>
      </c>
      <c r="BV51" t="s">
        <v>140</v>
      </c>
      <c r="BW51" t="s">
        <v>140</v>
      </c>
      <c r="BX51" t="s">
        <v>140</v>
      </c>
      <c r="BY51" t="s">
        <v>140</v>
      </c>
      <c r="BZ51" t="s">
        <v>140</v>
      </c>
      <c r="CA51" t="s">
        <v>140</v>
      </c>
      <c r="CB51" t="s">
        <v>140</v>
      </c>
      <c r="CC51" t="s">
        <v>140</v>
      </c>
      <c r="CD51" t="s">
        <v>140</v>
      </c>
      <c r="CE51" t="s">
        <v>140</v>
      </c>
      <c r="CF51" t="s">
        <v>140</v>
      </c>
      <c r="CG51" t="s">
        <v>140</v>
      </c>
      <c r="CH51" t="s">
        <v>140</v>
      </c>
      <c r="CI51" t="s">
        <v>140</v>
      </c>
      <c r="CJ51" t="s">
        <v>140</v>
      </c>
      <c r="CK51" t="s">
        <v>140</v>
      </c>
      <c r="CL51" t="s">
        <v>140</v>
      </c>
      <c r="CM51" t="s">
        <v>140</v>
      </c>
      <c r="CN51" t="s">
        <v>140</v>
      </c>
      <c r="CO51" t="s">
        <v>140</v>
      </c>
      <c r="CP51" t="s">
        <v>140</v>
      </c>
      <c r="CQ51" t="s">
        <v>140</v>
      </c>
      <c r="CR51" t="s">
        <v>140</v>
      </c>
      <c r="CS51" t="s">
        <v>140</v>
      </c>
      <c r="CT51" t="s">
        <v>140</v>
      </c>
      <c r="CU51" t="s">
        <v>140</v>
      </c>
      <c r="CV51" t="s">
        <v>140</v>
      </c>
      <c r="CW51" t="s">
        <v>140</v>
      </c>
      <c r="CX51" t="s">
        <v>140</v>
      </c>
      <c r="CY51" t="s">
        <v>140</v>
      </c>
      <c r="CZ51" t="s">
        <v>140</v>
      </c>
      <c r="DA51" t="s">
        <v>140</v>
      </c>
      <c r="DB51" t="s">
        <v>140</v>
      </c>
      <c r="DC51" s="1">
        <v>0.58299999999999996</v>
      </c>
      <c r="DD51" s="1">
        <v>0.59199999999999997</v>
      </c>
      <c r="DE51" s="1">
        <v>0.60699999999999998</v>
      </c>
      <c r="DF51" s="1">
        <v>0.6</v>
      </c>
      <c r="DG51" s="1">
        <v>0</v>
      </c>
      <c r="DH51" s="1">
        <v>0.745</v>
      </c>
      <c r="DI51" s="1">
        <v>0.66400000000000003</v>
      </c>
      <c r="DJ51" s="1">
        <v>0.8</v>
      </c>
      <c r="DK51" s="1">
        <v>0.78400000000000003</v>
      </c>
      <c r="DL51" s="1">
        <v>0.79200000000000004</v>
      </c>
      <c r="DM51" s="1">
        <v>0.80500000000000005</v>
      </c>
      <c r="DN51" s="1">
        <v>0.82099999999999995</v>
      </c>
      <c r="DO51" s="1">
        <v>0.84299999999999997</v>
      </c>
      <c r="DP51" s="1">
        <v>0.84899999999999998</v>
      </c>
      <c r="DQ51" s="1">
        <v>0.85099999999999998</v>
      </c>
      <c r="DR51" s="1">
        <v>0.82499999999999996</v>
      </c>
      <c r="DS51" s="1">
        <v>0.77600000000000002</v>
      </c>
      <c r="DT51" s="1">
        <v>0.77900000000000003</v>
      </c>
      <c r="DU51" s="1">
        <v>0.76700000000000002</v>
      </c>
      <c r="DV51" s="1">
        <v>0.78600000000000003</v>
      </c>
      <c r="DW51" s="1">
        <v>0.77</v>
      </c>
      <c r="DX51" s="1">
        <v>0.82499999999999996</v>
      </c>
      <c r="DY51" s="1">
        <v>0.83799999999999997</v>
      </c>
      <c r="DZ51" s="1">
        <v>0.83199999999999996</v>
      </c>
      <c r="EA51" s="1">
        <v>0.81899999999999995</v>
      </c>
      <c r="EB51" s="1">
        <v>0.76900000000000002</v>
      </c>
      <c r="EC51" s="1">
        <v>0.75700000000000001</v>
      </c>
      <c r="ED51" s="1">
        <v>0.75600000000000001</v>
      </c>
    </row>
    <row r="52" spans="1:134" x14ac:dyDescent="0.25">
      <c r="A52" t="s">
        <v>172</v>
      </c>
      <c r="B52" s="1">
        <v>0.151</v>
      </c>
      <c r="C52" s="1">
        <v>0.159</v>
      </c>
      <c r="D52" s="1">
        <v>0.13600000000000001</v>
      </c>
      <c r="E52" s="1">
        <v>0.11</v>
      </c>
      <c r="F52" s="1">
        <v>0.11899999999999999</v>
      </c>
      <c r="G52" s="1">
        <v>0.16500000000000001</v>
      </c>
      <c r="H52" s="1">
        <v>0.156</v>
      </c>
      <c r="I52" s="1">
        <v>0.11899999999999999</v>
      </c>
      <c r="J52" s="1">
        <v>0.107</v>
      </c>
      <c r="K52" s="1">
        <v>0.16700000000000001</v>
      </c>
      <c r="L52" s="1">
        <v>0.184</v>
      </c>
      <c r="M52" s="1">
        <v>0.184</v>
      </c>
      <c r="N52" t="s">
        <v>141</v>
      </c>
      <c r="O52" t="s">
        <v>140</v>
      </c>
      <c r="P52" t="s">
        <v>140</v>
      </c>
      <c r="Q52" t="s">
        <v>140</v>
      </c>
      <c r="R52" t="s">
        <v>140</v>
      </c>
      <c r="S52" t="s">
        <v>140</v>
      </c>
      <c r="T52" t="s">
        <v>140</v>
      </c>
      <c r="U52" t="s">
        <v>140</v>
      </c>
      <c r="V52" t="s">
        <v>140</v>
      </c>
      <c r="W52" t="s">
        <v>140</v>
      </c>
      <c r="X52" t="s">
        <v>140</v>
      </c>
      <c r="Y52" t="s">
        <v>140</v>
      </c>
      <c r="Z52" t="s">
        <v>140</v>
      </c>
      <c r="AA52" t="s">
        <v>140</v>
      </c>
      <c r="AB52" t="s">
        <v>140</v>
      </c>
      <c r="AC52" t="s">
        <v>140</v>
      </c>
      <c r="AD52" t="s">
        <v>140</v>
      </c>
      <c r="AE52" t="s">
        <v>140</v>
      </c>
      <c r="AF52" t="s">
        <v>140</v>
      </c>
      <c r="AG52" t="s">
        <v>140</v>
      </c>
      <c r="AH52" t="s">
        <v>140</v>
      </c>
      <c r="AI52" t="s">
        <v>140</v>
      </c>
      <c r="AJ52" t="s">
        <v>140</v>
      </c>
      <c r="AK52" t="s">
        <v>140</v>
      </c>
      <c r="AL52" t="s">
        <v>140</v>
      </c>
      <c r="AM52" t="s">
        <v>140</v>
      </c>
      <c r="AN52" t="s">
        <v>140</v>
      </c>
      <c r="AO52" t="s">
        <v>140</v>
      </c>
      <c r="AP52" t="s">
        <v>140</v>
      </c>
      <c r="AQ52" t="s">
        <v>140</v>
      </c>
      <c r="AR52" t="s">
        <v>140</v>
      </c>
      <c r="AS52" t="s">
        <v>140</v>
      </c>
      <c r="AT52" t="s">
        <v>140</v>
      </c>
      <c r="AU52" t="s">
        <v>140</v>
      </c>
      <c r="AV52" t="s">
        <v>140</v>
      </c>
      <c r="AW52" t="s">
        <v>140</v>
      </c>
      <c r="AX52" t="s">
        <v>140</v>
      </c>
      <c r="AY52" t="s">
        <v>140</v>
      </c>
      <c r="AZ52" t="s">
        <v>140</v>
      </c>
      <c r="BA52" t="s">
        <v>140</v>
      </c>
      <c r="BB52" t="s">
        <v>140</v>
      </c>
      <c r="BC52" t="s">
        <v>140</v>
      </c>
      <c r="BD52" t="s">
        <v>140</v>
      </c>
      <c r="BE52" t="s">
        <v>140</v>
      </c>
      <c r="BF52" t="s">
        <v>140</v>
      </c>
      <c r="BG52" t="s">
        <v>140</v>
      </c>
      <c r="BH52" t="s">
        <v>140</v>
      </c>
      <c r="BI52" t="s">
        <v>140</v>
      </c>
      <c r="BJ52" t="s">
        <v>140</v>
      </c>
      <c r="BK52" t="s">
        <v>140</v>
      </c>
      <c r="BL52" t="s">
        <v>140</v>
      </c>
      <c r="BM52" t="s">
        <v>140</v>
      </c>
      <c r="BN52" t="s">
        <v>140</v>
      </c>
      <c r="BO52" t="s">
        <v>140</v>
      </c>
      <c r="BP52" t="s">
        <v>140</v>
      </c>
      <c r="BQ52" t="s">
        <v>140</v>
      </c>
      <c r="BR52" t="s">
        <v>140</v>
      </c>
      <c r="BS52" t="s">
        <v>140</v>
      </c>
      <c r="BT52" t="s">
        <v>140</v>
      </c>
      <c r="BU52" t="s">
        <v>140</v>
      </c>
      <c r="BV52" t="s">
        <v>140</v>
      </c>
      <c r="BW52" t="s">
        <v>140</v>
      </c>
      <c r="BX52" t="s">
        <v>140</v>
      </c>
      <c r="BY52" t="s">
        <v>140</v>
      </c>
      <c r="BZ52" t="s">
        <v>140</v>
      </c>
      <c r="CA52" t="s">
        <v>140</v>
      </c>
      <c r="CB52" t="s">
        <v>140</v>
      </c>
      <c r="CC52" t="s">
        <v>140</v>
      </c>
      <c r="CD52" t="s">
        <v>140</v>
      </c>
      <c r="CE52" t="s">
        <v>140</v>
      </c>
      <c r="CF52" t="s">
        <v>140</v>
      </c>
      <c r="CG52" t="s">
        <v>140</v>
      </c>
      <c r="CH52" t="s">
        <v>140</v>
      </c>
      <c r="CI52" t="s">
        <v>140</v>
      </c>
      <c r="CJ52" t="s">
        <v>140</v>
      </c>
      <c r="CK52" t="s">
        <v>140</v>
      </c>
      <c r="CL52" t="s">
        <v>140</v>
      </c>
      <c r="CM52" t="s">
        <v>140</v>
      </c>
      <c r="CN52" t="s">
        <v>140</v>
      </c>
      <c r="CO52" t="s">
        <v>140</v>
      </c>
      <c r="CP52" t="s">
        <v>140</v>
      </c>
      <c r="CQ52" t="s">
        <v>140</v>
      </c>
      <c r="CR52" t="s">
        <v>140</v>
      </c>
      <c r="CS52" t="s">
        <v>140</v>
      </c>
      <c r="CT52" t="s">
        <v>140</v>
      </c>
      <c r="CU52" t="s">
        <v>140</v>
      </c>
      <c r="CV52" t="s">
        <v>140</v>
      </c>
      <c r="CW52" t="s">
        <v>140</v>
      </c>
      <c r="CX52" t="s">
        <v>140</v>
      </c>
      <c r="CY52" t="s">
        <v>140</v>
      </c>
      <c r="CZ52" t="s">
        <v>140</v>
      </c>
      <c r="DA52" t="s">
        <v>140</v>
      </c>
      <c r="DB52" t="s">
        <v>140</v>
      </c>
      <c r="DC52" s="1">
        <v>0.29899999999999999</v>
      </c>
      <c r="DD52" s="1">
        <v>0.26900000000000002</v>
      </c>
      <c r="DE52" s="1">
        <v>0.249</v>
      </c>
      <c r="DF52" s="1">
        <v>0.247</v>
      </c>
      <c r="DG52" s="1">
        <v>0</v>
      </c>
      <c r="DH52" s="1">
        <v>0.19700000000000001</v>
      </c>
      <c r="DI52" s="1">
        <v>0.17100000000000001</v>
      </c>
      <c r="DJ52" s="1">
        <v>0.151</v>
      </c>
      <c r="DK52" s="1">
        <v>0.16700000000000001</v>
      </c>
      <c r="DL52" s="1">
        <v>0.159</v>
      </c>
      <c r="DM52" s="1">
        <v>0.14899999999999999</v>
      </c>
      <c r="DN52" s="1">
        <v>0.13600000000000001</v>
      </c>
      <c r="DO52" s="1">
        <v>0.11600000000000001</v>
      </c>
      <c r="DP52" s="1">
        <v>0.11</v>
      </c>
      <c r="DQ52" s="1">
        <v>0.11</v>
      </c>
      <c r="DR52" s="1">
        <v>0.11899999999999999</v>
      </c>
      <c r="DS52" s="1">
        <v>0.16900000000000001</v>
      </c>
      <c r="DT52" s="1">
        <v>0.16500000000000001</v>
      </c>
      <c r="DU52" s="1">
        <v>0.17599999999999999</v>
      </c>
      <c r="DV52" s="1">
        <v>0.156</v>
      </c>
      <c r="DW52" s="1">
        <v>0.17399999999999999</v>
      </c>
      <c r="DX52" s="1">
        <v>0.11899999999999999</v>
      </c>
      <c r="DY52" s="1">
        <v>0.10299999999999999</v>
      </c>
      <c r="DZ52" s="1">
        <v>0.107</v>
      </c>
      <c r="EA52" s="1">
        <v>0.12</v>
      </c>
      <c r="EB52" s="1">
        <v>0.16700000000000001</v>
      </c>
      <c r="EC52" s="1">
        <v>0.17699999999999999</v>
      </c>
      <c r="ED52" s="1">
        <v>0.184</v>
      </c>
    </row>
    <row r="53" spans="1:134" x14ac:dyDescent="0.25">
      <c r="A53" t="s">
        <v>173</v>
      </c>
      <c r="B53" s="1">
        <v>0.2</v>
      </c>
      <c r="C53" s="1">
        <v>0.20799999999999999</v>
      </c>
      <c r="D53" s="1">
        <v>0.17899999999999999</v>
      </c>
      <c r="E53" s="1">
        <v>0.151</v>
      </c>
      <c r="F53" s="1">
        <v>0.17499999999999999</v>
      </c>
      <c r="G53" s="1">
        <v>0.22</v>
      </c>
      <c r="H53" s="1">
        <v>0.21299999999999999</v>
      </c>
      <c r="I53" s="1">
        <v>0.17299999999999999</v>
      </c>
      <c r="J53" s="1">
        <v>0.16600000000000001</v>
      </c>
      <c r="K53" s="1">
        <v>0.22900000000000001</v>
      </c>
      <c r="L53" s="1">
        <v>0.24399999999999999</v>
      </c>
      <c r="M53" s="1">
        <v>0.24399999999999999</v>
      </c>
      <c r="N53" t="s">
        <v>141</v>
      </c>
      <c r="O53" t="s">
        <v>140</v>
      </c>
      <c r="P53" t="s">
        <v>140</v>
      </c>
      <c r="Q53" t="s">
        <v>140</v>
      </c>
      <c r="R53" t="s">
        <v>140</v>
      </c>
      <c r="S53" t="s">
        <v>140</v>
      </c>
      <c r="T53" t="s">
        <v>140</v>
      </c>
      <c r="U53" t="s">
        <v>140</v>
      </c>
      <c r="V53" t="s">
        <v>140</v>
      </c>
      <c r="W53" t="s">
        <v>140</v>
      </c>
      <c r="X53" t="s">
        <v>140</v>
      </c>
      <c r="Y53" t="s">
        <v>140</v>
      </c>
      <c r="Z53" t="s">
        <v>140</v>
      </c>
      <c r="AA53" t="s">
        <v>140</v>
      </c>
      <c r="AB53" t="s">
        <v>140</v>
      </c>
      <c r="AC53" t="s">
        <v>140</v>
      </c>
      <c r="AD53" t="s">
        <v>140</v>
      </c>
      <c r="AE53" t="s">
        <v>140</v>
      </c>
      <c r="AF53" t="s">
        <v>140</v>
      </c>
      <c r="AG53" t="s">
        <v>140</v>
      </c>
      <c r="AH53" t="s">
        <v>140</v>
      </c>
      <c r="AI53" t="s">
        <v>140</v>
      </c>
      <c r="AJ53" t="s">
        <v>140</v>
      </c>
      <c r="AK53" t="s">
        <v>140</v>
      </c>
      <c r="AL53" t="s">
        <v>140</v>
      </c>
      <c r="AM53" t="s">
        <v>140</v>
      </c>
      <c r="AN53" t="s">
        <v>140</v>
      </c>
      <c r="AO53" t="s">
        <v>140</v>
      </c>
      <c r="AP53" t="s">
        <v>140</v>
      </c>
      <c r="AQ53" t="s">
        <v>140</v>
      </c>
      <c r="AR53" t="s">
        <v>140</v>
      </c>
      <c r="AS53" t="s">
        <v>140</v>
      </c>
      <c r="AT53" t="s">
        <v>140</v>
      </c>
      <c r="AU53" t="s">
        <v>140</v>
      </c>
      <c r="AV53" t="s">
        <v>140</v>
      </c>
      <c r="AW53" t="s">
        <v>140</v>
      </c>
      <c r="AX53" t="s">
        <v>140</v>
      </c>
      <c r="AY53" t="s">
        <v>140</v>
      </c>
      <c r="AZ53" t="s">
        <v>140</v>
      </c>
      <c r="BA53" t="s">
        <v>140</v>
      </c>
      <c r="BB53" t="s">
        <v>140</v>
      </c>
      <c r="BC53" t="s">
        <v>140</v>
      </c>
      <c r="BD53" t="s">
        <v>140</v>
      </c>
      <c r="BE53" t="s">
        <v>140</v>
      </c>
      <c r="BF53" t="s">
        <v>140</v>
      </c>
      <c r="BG53" t="s">
        <v>140</v>
      </c>
      <c r="BH53" t="s">
        <v>140</v>
      </c>
      <c r="BI53" t="s">
        <v>140</v>
      </c>
      <c r="BJ53" t="s">
        <v>140</v>
      </c>
      <c r="BK53" t="s">
        <v>140</v>
      </c>
      <c r="BL53" t="s">
        <v>140</v>
      </c>
      <c r="BM53" t="s">
        <v>140</v>
      </c>
      <c r="BN53" t="s">
        <v>140</v>
      </c>
      <c r="BO53" t="s">
        <v>140</v>
      </c>
      <c r="BP53" t="s">
        <v>140</v>
      </c>
      <c r="BQ53" t="s">
        <v>140</v>
      </c>
      <c r="BR53" t="s">
        <v>140</v>
      </c>
      <c r="BS53" t="s">
        <v>140</v>
      </c>
      <c r="BT53" t="s">
        <v>140</v>
      </c>
      <c r="BU53" t="s">
        <v>140</v>
      </c>
      <c r="BV53" t="s">
        <v>140</v>
      </c>
      <c r="BW53" t="s">
        <v>140</v>
      </c>
      <c r="BX53" t="s">
        <v>140</v>
      </c>
      <c r="BY53" t="s">
        <v>140</v>
      </c>
      <c r="BZ53" t="s">
        <v>140</v>
      </c>
      <c r="CA53" t="s">
        <v>140</v>
      </c>
      <c r="CB53" t="s">
        <v>140</v>
      </c>
      <c r="CC53" t="s">
        <v>140</v>
      </c>
      <c r="CD53" t="s">
        <v>140</v>
      </c>
      <c r="CE53" t="s">
        <v>140</v>
      </c>
      <c r="CF53" t="s">
        <v>140</v>
      </c>
      <c r="CG53" t="s">
        <v>140</v>
      </c>
      <c r="CH53" t="s">
        <v>140</v>
      </c>
      <c r="CI53" t="s">
        <v>140</v>
      </c>
      <c r="CJ53" t="s">
        <v>140</v>
      </c>
      <c r="CK53" t="s">
        <v>140</v>
      </c>
      <c r="CL53" t="s">
        <v>140</v>
      </c>
      <c r="CM53" t="s">
        <v>140</v>
      </c>
      <c r="CN53" t="s">
        <v>140</v>
      </c>
      <c r="CO53" t="s">
        <v>140</v>
      </c>
      <c r="CP53" t="s">
        <v>140</v>
      </c>
      <c r="CQ53" t="s">
        <v>140</v>
      </c>
      <c r="CR53" t="s">
        <v>140</v>
      </c>
      <c r="CS53" t="s">
        <v>140</v>
      </c>
      <c r="CT53" t="s">
        <v>140</v>
      </c>
      <c r="CU53" t="s">
        <v>140</v>
      </c>
      <c r="CV53" t="s">
        <v>140</v>
      </c>
      <c r="CW53" t="s">
        <v>140</v>
      </c>
      <c r="CX53" t="s">
        <v>140</v>
      </c>
      <c r="CY53" t="s">
        <v>140</v>
      </c>
      <c r="CZ53" t="s">
        <v>140</v>
      </c>
      <c r="DA53" t="s">
        <v>140</v>
      </c>
      <c r="DB53" t="s">
        <v>140</v>
      </c>
      <c r="DC53" s="1">
        <v>0.41699999999999998</v>
      </c>
      <c r="DD53" s="1">
        <v>0.40799999999999997</v>
      </c>
      <c r="DE53" s="1">
        <v>0.39300000000000002</v>
      </c>
      <c r="DF53" s="1">
        <v>0.4</v>
      </c>
      <c r="DG53" s="1">
        <v>0</v>
      </c>
      <c r="DH53" s="1">
        <v>0.255</v>
      </c>
      <c r="DI53" s="1">
        <v>0.33600000000000002</v>
      </c>
      <c r="DJ53" s="1">
        <v>0.2</v>
      </c>
      <c r="DK53" s="1">
        <v>0.216</v>
      </c>
      <c r="DL53" s="1">
        <v>0.20799999999999999</v>
      </c>
      <c r="DM53" s="1">
        <v>0.19500000000000001</v>
      </c>
      <c r="DN53" s="1">
        <v>0.17899999999999999</v>
      </c>
      <c r="DO53" s="1">
        <v>0.157</v>
      </c>
      <c r="DP53" s="1">
        <v>0.151</v>
      </c>
      <c r="DQ53" s="1">
        <v>0.14899999999999999</v>
      </c>
      <c r="DR53" s="1">
        <v>0.17499999999999999</v>
      </c>
      <c r="DS53" s="1">
        <v>0.224</v>
      </c>
      <c r="DT53" s="1">
        <v>0.22</v>
      </c>
      <c r="DU53" s="1">
        <v>0.23200000000000001</v>
      </c>
      <c r="DV53" s="1">
        <v>0.21299999999999999</v>
      </c>
      <c r="DW53" s="1">
        <v>0.22900000000000001</v>
      </c>
      <c r="DX53" s="1">
        <v>0.17299999999999999</v>
      </c>
      <c r="DY53" s="1">
        <v>0.159</v>
      </c>
      <c r="DZ53" s="1">
        <v>0.16600000000000001</v>
      </c>
      <c r="EA53" s="1">
        <v>0.17899999999999999</v>
      </c>
      <c r="EB53" s="1">
        <v>0.22900000000000001</v>
      </c>
      <c r="EC53" s="1">
        <v>0.24199999999999999</v>
      </c>
      <c r="ED53" s="1">
        <v>0.24399999999999999</v>
      </c>
    </row>
    <row r="54" spans="1:134" x14ac:dyDescent="0.25">
      <c r="A54" t="s">
        <v>174</v>
      </c>
      <c r="B54" s="1">
        <v>5.88</v>
      </c>
      <c r="C54" s="1">
        <v>5.66</v>
      </c>
      <c r="D54" s="1">
        <v>5.17</v>
      </c>
      <c r="E54" s="1">
        <v>4.8899999999999997</v>
      </c>
      <c r="F54" s="1">
        <v>4.42</v>
      </c>
      <c r="G54" s="1">
        <v>4.25</v>
      </c>
      <c r="H54" s="1">
        <v>4.12</v>
      </c>
      <c r="I54" s="1">
        <v>3.91</v>
      </c>
      <c r="J54" s="1">
        <v>3.47</v>
      </c>
      <c r="K54" s="1">
        <v>3.7800000000000002</v>
      </c>
      <c r="L54" s="1">
        <v>3.95</v>
      </c>
      <c r="M54" s="1">
        <v>3.9800000000000004</v>
      </c>
      <c r="N54" t="s">
        <v>141</v>
      </c>
      <c r="O54" t="s">
        <v>140</v>
      </c>
      <c r="P54" t="s">
        <v>140</v>
      </c>
      <c r="Q54" t="s">
        <v>140</v>
      </c>
      <c r="R54" t="s">
        <v>140</v>
      </c>
      <c r="S54" t="s">
        <v>140</v>
      </c>
      <c r="T54" t="s">
        <v>140</v>
      </c>
      <c r="U54" t="s">
        <v>140</v>
      </c>
      <c r="V54" t="s">
        <v>140</v>
      </c>
      <c r="W54" t="s">
        <v>140</v>
      </c>
      <c r="X54" t="s">
        <v>140</v>
      </c>
      <c r="Y54" t="s">
        <v>140</v>
      </c>
      <c r="Z54" t="s">
        <v>140</v>
      </c>
      <c r="AA54" t="s">
        <v>140</v>
      </c>
      <c r="AB54" t="s">
        <v>140</v>
      </c>
      <c r="AC54" t="s">
        <v>140</v>
      </c>
      <c r="AD54" t="s">
        <v>140</v>
      </c>
      <c r="AE54" t="s">
        <v>140</v>
      </c>
      <c r="AF54" t="s">
        <v>140</v>
      </c>
      <c r="AG54" t="s">
        <v>140</v>
      </c>
      <c r="AH54" t="s">
        <v>140</v>
      </c>
      <c r="AI54" t="s">
        <v>140</v>
      </c>
      <c r="AJ54" t="s">
        <v>140</v>
      </c>
      <c r="AK54" t="s">
        <v>140</v>
      </c>
      <c r="AL54" t="s">
        <v>140</v>
      </c>
      <c r="AM54" t="s">
        <v>140</v>
      </c>
      <c r="AN54" t="s">
        <v>140</v>
      </c>
      <c r="AO54" t="s">
        <v>140</v>
      </c>
      <c r="AP54" t="s">
        <v>140</v>
      </c>
      <c r="AQ54" t="s">
        <v>140</v>
      </c>
      <c r="AR54" t="s">
        <v>140</v>
      </c>
      <c r="AS54" t="s">
        <v>140</v>
      </c>
      <c r="AT54" t="s">
        <v>140</v>
      </c>
      <c r="AU54" t="s">
        <v>140</v>
      </c>
      <c r="AV54" t="s">
        <v>140</v>
      </c>
      <c r="AW54" t="s">
        <v>140</v>
      </c>
      <c r="AX54" t="s">
        <v>140</v>
      </c>
      <c r="AY54" t="s">
        <v>140</v>
      </c>
      <c r="AZ54" t="s">
        <v>140</v>
      </c>
      <c r="BA54" t="s">
        <v>140</v>
      </c>
      <c r="BB54" t="s">
        <v>140</v>
      </c>
      <c r="BC54" t="s">
        <v>140</v>
      </c>
      <c r="BD54" t="s">
        <v>140</v>
      </c>
      <c r="BE54" t="s">
        <v>140</v>
      </c>
      <c r="BF54" t="s">
        <v>140</v>
      </c>
      <c r="BG54" t="s">
        <v>140</v>
      </c>
      <c r="BH54" t="s">
        <v>140</v>
      </c>
      <c r="BI54" t="s">
        <v>140</v>
      </c>
      <c r="BJ54" t="s">
        <v>140</v>
      </c>
      <c r="BK54" t="s">
        <v>140</v>
      </c>
      <c r="BL54" t="s">
        <v>140</v>
      </c>
      <c r="BM54" t="s">
        <v>140</v>
      </c>
      <c r="BN54" t="s">
        <v>140</v>
      </c>
      <c r="BO54" t="s">
        <v>140</v>
      </c>
      <c r="BP54" t="s">
        <v>140</v>
      </c>
      <c r="BQ54" t="s">
        <v>140</v>
      </c>
      <c r="BR54" t="s">
        <v>140</v>
      </c>
      <c r="BS54" t="s">
        <v>140</v>
      </c>
      <c r="BT54" t="s">
        <v>140</v>
      </c>
      <c r="BU54" t="s">
        <v>140</v>
      </c>
      <c r="BV54" t="s">
        <v>140</v>
      </c>
      <c r="BW54" t="s">
        <v>140</v>
      </c>
      <c r="BX54" t="s">
        <v>140</v>
      </c>
      <c r="BY54" t="s">
        <v>140</v>
      </c>
      <c r="BZ54" t="s">
        <v>140</v>
      </c>
      <c r="CA54" t="s">
        <v>140</v>
      </c>
      <c r="CB54" t="s">
        <v>140</v>
      </c>
      <c r="CC54" t="s">
        <v>140</v>
      </c>
      <c r="CD54" t="s">
        <v>140</v>
      </c>
      <c r="CE54" t="s">
        <v>140</v>
      </c>
      <c r="CF54" t="s">
        <v>140</v>
      </c>
      <c r="CG54" t="s">
        <v>140</v>
      </c>
      <c r="CH54" t="s">
        <v>140</v>
      </c>
      <c r="CI54" t="s">
        <v>140</v>
      </c>
      <c r="CJ54" t="s">
        <v>140</v>
      </c>
      <c r="CK54" t="s">
        <v>140</v>
      </c>
      <c r="CL54" t="s">
        <v>140</v>
      </c>
      <c r="CM54" t="s">
        <v>140</v>
      </c>
      <c r="CN54" t="s">
        <v>140</v>
      </c>
      <c r="CO54" t="s">
        <v>140</v>
      </c>
      <c r="CP54" t="s">
        <v>140</v>
      </c>
      <c r="CQ54" t="s">
        <v>140</v>
      </c>
      <c r="CR54" t="s">
        <v>140</v>
      </c>
      <c r="CS54" t="s">
        <v>140</v>
      </c>
      <c r="CT54" t="s">
        <v>140</v>
      </c>
      <c r="CU54" t="s">
        <v>140</v>
      </c>
      <c r="CV54" t="s">
        <v>140</v>
      </c>
      <c r="CW54" t="s">
        <v>140</v>
      </c>
      <c r="CX54" t="s">
        <v>140</v>
      </c>
      <c r="CY54" t="s">
        <v>140</v>
      </c>
      <c r="CZ54" t="s">
        <v>140</v>
      </c>
      <c r="DA54" t="s">
        <v>140</v>
      </c>
      <c r="DB54" t="s">
        <v>140</v>
      </c>
      <c r="DC54" s="1">
        <v>0</v>
      </c>
      <c r="DD54" s="1">
        <v>0</v>
      </c>
      <c r="DE54" s="1">
        <v>0</v>
      </c>
      <c r="DF54" s="1">
        <v>0</v>
      </c>
      <c r="DG54" s="1">
        <v>6.64</v>
      </c>
      <c r="DH54" s="1">
        <v>6.2</v>
      </c>
      <c r="DI54" s="1">
        <v>5.99</v>
      </c>
      <c r="DJ54" s="1">
        <v>5.72</v>
      </c>
      <c r="DK54" s="1">
        <v>5.6800000000000006</v>
      </c>
      <c r="DL54" s="1">
        <v>5.56</v>
      </c>
      <c r="DM54" s="1">
        <v>5.41</v>
      </c>
      <c r="DN54" s="1">
        <v>5.0500000000000007</v>
      </c>
      <c r="DO54" s="1">
        <v>4.9399999999999995</v>
      </c>
      <c r="DP54" s="1">
        <v>4.93</v>
      </c>
      <c r="DQ54" s="1">
        <v>4.5699999999999994</v>
      </c>
      <c r="DR54" s="1">
        <v>4.2299999999999995</v>
      </c>
      <c r="DS54" s="1">
        <v>4.12</v>
      </c>
      <c r="DT54" s="1">
        <v>4.26</v>
      </c>
      <c r="DU54" s="1">
        <v>4.1399999999999997</v>
      </c>
      <c r="DV54" s="1">
        <v>4.12</v>
      </c>
      <c r="DW54" s="1">
        <v>4.1000000000000005</v>
      </c>
      <c r="DX54" s="1">
        <v>3.82</v>
      </c>
      <c r="DY54" s="1">
        <v>3.4799999999999995</v>
      </c>
      <c r="DZ54" s="1">
        <v>3.55</v>
      </c>
      <c r="EA54" s="1">
        <v>3.55</v>
      </c>
      <c r="EB54" s="1">
        <v>3.7800000000000002</v>
      </c>
      <c r="EC54" s="1">
        <v>3.93</v>
      </c>
      <c r="ED54" s="1">
        <v>4.07</v>
      </c>
    </row>
    <row r="55" spans="1:134" x14ac:dyDescent="0.25">
      <c r="A55" t="s">
        <v>175</v>
      </c>
      <c r="B55" s="1">
        <v>8.5999999999999993E-2</v>
      </c>
      <c r="C55" s="1">
        <v>0.08</v>
      </c>
      <c r="D55" s="1">
        <v>7.2999999999999995E-2</v>
      </c>
      <c r="E55" s="1">
        <v>6.7000000000000004E-2</v>
      </c>
      <c r="F55" s="1">
        <v>0.06</v>
      </c>
      <c r="G55" s="1">
        <v>5.7000000000000002E-2</v>
      </c>
      <c r="H55" s="1">
        <v>5.5E-2</v>
      </c>
      <c r="I55" s="1">
        <v>5.0999999999999997E-2</v>
      </c>
      <c r="J55" s="1">
        <v>4.4999999999999998E-2</v>
      </c>
      <c r="K55" s="1">
        <v>4.9000000000000002E-2</v>
      </c>
      <c r="L55" s="1">
        <v>5.0999999999999997E-2</v>
      </c>
      <c r="M55" s="1">
        <v>0.05</v>
      </c>
      <c r="N55" t="s">
        <v>141</v>
      </c>
      <c r="O55" t="s">
        <v>140</v>
      </c>
      <c r="P55" t="s">
        <v>140</v>
      </c>
      <c r="Q55" t="s">
        <v>140</v>
      </c>
      <c r="R55" t="s">
        <v>140</v>
      </c>
      <c r="S55" t="s">
        <v>140</v>
      </c>
      <c r="T55" t="s">
        <v>140</v>
      </c>
      <c r="U55" t="s">
        <v>140</v>
      </c>
      <c r="V55" t="s">
        <v>140</v>
      </c>
      <c r="W55" t="s">
        <v>140</v>
      </c>
      <c r="X55" t="s">
        <v>140</v>
      </c>
      <c r="Y55" t="s">
        <v>140</v>
      </c>
      <c r="Z55" t="s">
        <v>140</v>
      </c>
      <c r="AA55" t="s">
        <v>140</v>
      </c>
      <c r="AB55" t="s">
        <v>140</v>
      </c>
      <c r="AC55" t="s">
        <v>140</v>
      </c>
      <c r="AD55" t="s">
        <v>140</v>
      </c>
      <c r="AE55" t="s">
        <v>140</v>
      </c>
      <c r="AF55" t="s">
        <v>140</v>
      </c>
      <c r="AG55" t="s">
        <v>140</v>
      </c>
      <c r="AH55" t="s">
        <v>140</v>
      </c>
      <c r="AI55" t="s">
        <v>140</v>
      </c>
      <c r="AJ55" t="s">
        <v>140</v>
      </c>
      <c r="AK55" t="s">
        <v>140</v>
      </c>
      <c r="AL55" t="s">
        <v>140</v>
      </c>
      <c r="AM55" t="s">
        <v>140</v>
      </c>
      <c r="AN55" t="s">
        <v>140</v>
      </c>
      <c r="AO55" t="s">
        <v>140</v>
      </c>
      <c r="AP55" t="s">
        <v>140</v>
      </c>
      <c r="AQ55" t="s">
        <v>140</v>
      </c>
      <c r="AR55" t="s">
        <v>140</v>
      </c>
      <c r="AS55" t="s">
        <v>140</v>
      </c>
      <c r="AT55" t="s">
        <v>140</v>
      </c>
      <c r="AU55" t="s">
        <v>140</v>
      </c>
      <c r="AV55" t="s">
        <v>140</v>
      </c>
      <c r="AW55" t="s">
        <v>140</v>
      </c>
      <c r="AX55" t="s">
        <v>140</v>
      </c>
      <c r="AY55" t="s">
        <v>140</v>
      </c>
      <c r="AZ55" t="s">
        <v>140</v>
      </c>
      <c r="BA55" t="s">
        <v>140</v>
      </c>
      <c r="BB55" t="s">
        <v>140</v>
      </c>
      <c r="BC55" t="s">
        <v>140</v>
      </c>
      <c r="BD55" t="s">
        <v>140</v>
      </c>
      <c r="BE55" t="s">
        <v>140</v>
      </c>
      <c r="BF55" t="s">
        <v>140</v>
      </c>
      <c r="BG55" t="s">
        <v>140</v>
      </c>
      <c r="BH55" t="s">
        <v>140</v>
      </c>
      <c r="BI55" t="s">
        <v>140</v>
      </c>
      <c r="BJ55" t="s">
        <v>140</v>
      </c>
      <c r="BK55" t="s">
        <v>140</v>
      </c>
      <c r="BL55" t="s">
        <v>140</v>
      </c>
      <c r="BM55" t="s">
        <v>140</v>
      </c>
      <c r="BN55" t="s">
        <v>140</v>
      </c>
      <c r="BO55" t="s">
        <v>140</v>
      </c>
      <c r="BP55" t="s">
        <v>140</v>
      </c>
      <c r="BQ55" t="s">
        <v>140</v>
      </c>
      <c r="BR55" t="s">
        <v>140</v>
      </c>
      <c r="BS55" t="s">
        <v>140</v>
      </c>
      <c r="BT55" t="s">
        <v>140</v>
      </c>
      <c r="BU55" t="s">
        <v>140</v>
      </c>
      <c r="BV55" t="s">
        <v>140</v>
      </c>
      <c r="BW55" t="s">
        <v>140</v>
      </c>
      <c r="BX55" t="s">
        <v>140</v>
      </c>
      <c r="BY55" t="s">
        <v>140</v>
      </c>
      <c r="BZ55" t="s">
        <v>140</v>
      </c>
      <c r="CA55" t="s">
        <v>140</v>
      </c>
      <c r="CB55" t="s">
        <v>140</v>
      </c>
      <c r="CC55" t="s">
        <v>140</v>
      </c>
      <c r="CD55" t="s">
        <v>140</v>
      </c>
      <c r="CE55" t="s">
        <v>140</v>
      </c>
      <c r="CF55" t="s">
        <v>140</v>
      </c>
      <c r="CG55" t="s">
        <v>140</v>
      </c>
      <c r="CH55" t="s">
        <v>140</v>
      </c>
      <c r="CI55" t="s">
        <v>140</v>
      </c>
      <c r="CJ55" t="s">
        <v>140</v>
      </c>
      <c r="CK55" t="s">
        <v>140</v>
      </c>
      <c r="CL55" t="s">
        <v>140</v>
      </c>
      <c r="CM55" t="s">
        <v>140</v>
      </c>
      <c r="CN55" t="s">
        <v>140</v>
      </c>
      <c r="CO55" t="s">
        <v>140</v>
      </c>
      <c r="CP55" t="s">
        <v>140</v>
      </c>
      <c r="CQ55" t="s">
        <v>140</v>
      </c>
      <c r="CR55" t="s">
        <v>140</v>
      </c>
      <c r="CS55" t="s">
        <v>140</v>
      </c>
      <c r="CT55" t="s">
        <v>140</v>
      </c>
      <c r="CU55" t="s">
        <v>140</v>
      </c>
      <c r="CV55" t="s">
        <v>140</v>
      </c>
      <c r="CW55" t="s">
        <v>140</v>
      </c>
      <c r="CX55" t="s">
        <v>140</v>
      </c>
      <c r="CY55" t="s">
        <v>140</v>
      </c>
      <c r="CZ55" t="s">
        <v>140</v>
      </c>
      <c r="DA55" t="s">
        <v>140</v>
      </c>
      <c r="DB55" t="s">
        <v>140</v>
      </c>
      <c r="DC55" s="1">
        <v>0</v>
      </c>
      <c r="DD55" s="1">
        <v>0</v>
      </c>
      <c r="DE55" s="1">
        <v>0</v>
      </c>
      <c r="DF55" s="1">
        <v>0</v>
      </c>
      <c r="DG55" s="1">
        <v>0.05</v>
      </c>
      <c r="DH55" s="1">
        <v>4.5999999999999999E-2</v>
      </c>
      <c r="DI55" s="1">
        <v>4.4999999999999998E-2</v>
      </c>
      <c r="DJ55" s="1">
        <v>4.2000000000000003E-2</v>
      </c>
      <c r="DK55" s="1">
        <v>0.04</v>
      </c>
      <c r="DL55" s="1">
        <v>3.9E-2</v>
      </c>
      <c r="DM55" s="1">
        <v>3.7999999999999999E-2</v>
      </c>
      <c r="DN55" s="1">
        <v>3.5000000000000003E-2</v>
      </c>
      <c r="DO55" s="1">
        <v>3.4000000000000002E-2</v>
      </c>
      <c r="DP55" s="1">
        <v>3.4000000000000002E-2</v>
      </c>
      <c r="DQ55" s="1">
        <v>3.1E-2</v>
      </c>
      <c r="DR55" s="1">
        <v>2.9000000000000001E-2</v>
      </c>
      <c r="DS55" s="1">
        <v>2.8000000000000001E-2</v>
      </c>
      <c r="DT55" s="1">
        <v>2.8000000000000001E-2</v>
      </c>
      <c r="DU55" s="1">
        <v>2.8000000000000001E-2</v>
      </c>
      <c r="DV55" s="1">
        <v>2.7E-2</v>
      </c>
      <c r="DW55" s="1">
        <v>2.7E-2</v>
      </c>
      <c r="DX55" s="1">
        <v>2.5000000000000001E-2</v>
      </c>
      <c r="DY55" s="1">
        <v>2.3E-2</v>
      </c>
      <c r="DZ55" s="1">
        <v>2.3E-2</v>
      </c>
      <c r="EA55" s="1">
        <v>2.3E-2</v>
      </c>
      <c r="EB55" s="1">
        <v>2.5000000000000001E-2</v>
      </c>
      <c r="EC55" s="1">
        <v>2.5000000000000001E-2</v>
      </c>
      <c r="ED55" s="1">
        <v>2.7E-2</v>
      </c>
    </row>
    <row r="56" spans="1:134" x14ac:dyDescent="0.25">
      <c r="A56" t="s">
        <v>176</v>
      </c>
      <c r="B56" s="1">
        <v>0.14599999999999999</v>
      </c>
      <c r="C56" s="1">
        <v>0.28299999999999997</v>
      </c>
      <c r="D56" s="1">
        <v>0.14899999999999999</v>
      </c>
      <c r="E56" s="1">
        <v>0.20699999999999999</v>
      </c>
      <c r="F56" s="1">
        <v>0.14799999999999999</v>
      </c>
      <c r="G56" s="1">
        <v>0.26700000000000002</v>
      </c>
      <c r="H56" s="1">
        <v>0.27600000000000002</v>
      </c>
      <c r="I56" s="1">
        <v>0.11</v>
      </c>
      <c r="J56" s="1">
        <v>0.27100000000000002</v>
      </c>
      <c r="K56" s="1">
        <v>0</v>
      </c>
      <c r="L56" s="1">
        <v>5.0419999999999998</v>
      </c>
      <c r="M56" s="1">
        <v>5.04</v>
      </c>
      <c r="N56" t="s">
        <v>141</v>
      </c>
      <c r="O56" t="s">
        <v>140</v>
      </c>
      <c r="P56" t="s">
        <v>140</v>
      </c>
      <c r="Q56" t="s">
        <v>140</v>
      </c>
      <c r="R56" t="s">
        <v>140</v>
      </c>
      <c r="S56" t="s">
        <v>140</v>
      </c>
      <c r="T56" t="s">
        <v>140</v>
      </c>
      <c r="U56" t="s">
        <v>140</v>
      </c>
      <c r="V56" t="s">
        <v>140</v>
      </c>
      <c r="W56" t="s">
        <v>140</v>
      </c>
      <c r="X56" t="s">
        <v>140</v>
      </c>
      <c r="Y56" t="s">
        <v>140</v>
      </c>
      <c r="Z56" t="s">
        <v>140</v>
      </c>
      <c r="AA56" t="s">
        <v>140</v>
      </c>
      <c r="AB56" t="s">
        <v>140</v>
      </c>
      <c r="AC56" t="s">
        <v>140</v>
      </c>
      <c r="AD56" t="s">
        <v>140</v>
      </c>
      <c r="AE56" t="s">
        <v>140</v>
      </c>
      <c r="AF56" t="s">
        <v>140</v>
      </c>
      <c r="AG56" t="s">
        <v>140</v>
      </c>
      <c r="AH56" t="s">
        <v>140</v>
      </c>
      <c r="AI56" t="s">
        <v>140</v>
      </c>
      <c r="AJ56" t="s">
        <v>140</v>
      </c>
      <c r="AK56" t="s">
        <v>140</v>
      </c>
      <c r="AL56" t="s">
        <v>140</v>
      </c>
      <c r="AM56" t="s">
        <v>140</v>
      </c>
      <c r="AN56" t="s">
        <v>140</v>
      </c>
      <c r="AO56" t="s">
        <v>140</v>
      </c>
      <c r="AP56" t="s">
        <v>140</v>
      </c>
      <c r="AQ56" t="s">
        <v>140</v>
      </c>
      <c r="AR56" t="s">
        <v>140</v>
      </c>
      <c r="AS56" t="s">
        <v>140</v>
      </c>
      <c r="AT56" t="s">
        <v>140</v>
      </c>
      <c r="AU56" t="s">
        <v>140</v>
      </c>
      <c r="AV56" t="s">
        <v>140</v>
      </c>
      <c r="AW56" t="s">
        <v>140</v>
      </c>
      <c r="AX56" t="s">
        <v>140</v>
      </c>
      <c r="AY56" t="s">
        <v>140</v>
      </c>
      <c r="AZ56" t="s">
        <v>140</v>
      </c>
      <c r="BA56" t="s">
        <v>140</v>
      </c>
      <c r="BB56" t="s">
        <v>140</v>
      </c>
      <c r="BC56" t="s">
        <v>140</v>
      </c>
      <c r="BD56" t="s">
        <v>140</v>
      </c>
      <c r="BE56" t="s">
        <v>140</v>
      </c>
      <c r="BF56" t="s">
        <v>140</v>
      </c>
      <c r="BG56" t="s">
        <v>140</v>
      </c>
      <c r="BH56" t="s">
        <v>140</v>
      </c>
      <c r="BI56" t="s">
        <v>140</v>
      </c>
      <c r="BJ56" t="s">
        <v>140</v>
      </c>
      <c r="BK56" t="s">
        <v>140</v>
      </c>
      <c r="BL56" t="s">
        <v>140</v>
      </c>
      <c r="BM56" t="s">
        <v>140</v>
      </c>
      <c r="BN56" t="s">
        <v>140</v>
      </c>
      <c r="BO56" t="s">
        <v>140</v>
      </c>
      <c r="BP56" t="s">
        <v>140</v>
      </c>
      <c r="BQ56" t="s">
        <v>140</v>
      </c>
      <c r="BR56" t="s">
        <v>140</v>
      </c>
      <c r="BS56" t="s">
        <v>140</v>
      </c>
      <c r="BT56" t="s">
        <v>140</v>
      </c>
      <c r="BU56" t="s">
        <v>140</v>
      </c>
      <c r="BV56" t="s">
        <v>140</v>
      </c>
      <c r="BW56" t="s">
        <v>140</v>
      </c>
      <c r="BX56" t="s">
        <v>140</v>
      </c>
      <c r="BY56" t="s">
        <v>140</v>
      </c>
      <c r="BZ56" t="s">
        <v>140</v>
      </c>
      <c r="CA56" t="s">
        <v>140</v>
      </c>
      <c r="CB56" t="s">
        <v>140</v>
      </c>
      <c r="CC56" t="s">
        <v>140</v>
      </c>
      <c r="CD56" t="s">
        <v>140</v>
      </c>
      <c r="CE56" t="s">
        <v>140</v>
      </c>
      <c r="CF56" t="s">
        <v>140</v>
      </c>
      <c r="CG56" t="s">
        <v>140</v>
      </c>
      <c r="CH56" t="s">
        <v>140</v>
      </c>
      <c r="CI56" t="s">
        <v>140</v>
      </c>
      <c r="CJ56" t="s">
        <v>140</v>
      </c>
      <c r="CK56" t="s">
        <v>140</v>
      </c>
      <c r="CL56" t="s">
        <v>140</v>
      </c>
      <c r="CM56" t="s">
        <v>140</v>
      </c>
      <c r="CN56" t="s">
        <v>140</v>
      </c>
      <c r="CO56" t="s">
        <v>140</v>
      </c>
      <c r="CP56" t="s">
        <v>140</v>
      </c>
      <c r="CQ56" t="s">
        <v>140</v>
      </c>
      <c r="CR56" t="s">
        <v>140</v>
      </c>
      <c r="CS56" t="s">
        <v>140</v>
      </c>
      <c r="CT56" t="s">
        <v>140</v>
      </c>
      <c r="CU56" t="s">
        <v>140</v>
      </c>
      <c r="CV56" t="s">
        <v>140</v>
      </c>
      <c r="CW56" t="s">
        <v>140</v>
      </c>
      <c r="CX56" t="s">
        <v>140</v>
      </c>
      <c r="CY56" t="s">
        <v>140</v>
      </c>
      <c r="CZ56" t="s">
        <v>140</v>
      </c>
      <c r="DA56" t="s">
        <v>140</v>
      </c>
      <c r="DB56" t="s">
        <v>140</v>
      </c>
      <c r="DC56" s="1">
        <v>0</v>
      </c>
      <c r="DD56" s="1">
        <v>0</v>
      </c>
      <c r="DE56" s="1">
        <v>0</v>
      </c>
      <c r="DF56" s="1">
        <v>0</v>
      </c>
      <c r="DG56" s="1">
        <v>0.20899999999999999</v>
      </c>
      <c r="DH56" s="1">
        <v>0.13600000000000001</v>
      </c>
      <c r="DI56" s="1">
        <v>0.23799999999999999</v>
      </c>
      <c r="DJ56" s="1">
        <v>0.108</v>
      </c>
      <c r="DK56" s="1">
        <v>0.27600000000000002</v>
      </c>
      <c r="DL56" s="1">
        <v>0.29099999999999998</v>
      </c>
      <c r="DM56" s="1">
        <v>0.17899999999999999</v>
      </c>
      <c r="DN56" s="1">
        <v>0.129</v>
      </c>
      <c r="DO56" s="1">
        <v>0.245</v>
      </c>
      <c r="DP56" s="1">
        <v>0.18099999999999999</v>
      </c>
      <c r="DQ56" s="1">
        <v>0.11600000000000001</v>
      </c>
      <c r="DR56" s="1">
        <v>0.20100000000000001</v>
      </c>
      <c r="DS56" s="1">
        <v>0.26700000000000002</v>
      </c>
      <c r="DT56" s="1">
        <v>0.26900000000000002</v>
      </c>
      <c r="DU56" s="1">
        <v>0.40400000000000003</v>
      </c>
      <c r="DV56" s="1">
        <v>0.21199999999999999</v>
      </c>
      <c r="DW56" s="1">
        <v>0.21299999999999999</v>
      </c>
      <c r="DX56" s="1">
        <v>7.4999999999999997E-2</v>
      </c>
      <c r="DY56" s="1">
        <v>0.29799999999999999</v>
      </c>
      <c r="DZ56" s="1">
        <v>0.249</v>
      </c>
      <c r="EA56" s="1">
        <v>0.44800000000000001</v>
      </c>
      <c r="EB56" s="1">
        <v>0</v>
      </c>
      <c r="EC56" s="1">
        <v>0</v>
      </c>
      <c r="ED56" s="1">
        <v>0.55300000000000005</v>
      </c>
    </row>
    <row r="57" spans="1:134" x14ac:dyDescent="0.25">
      <c r="A57" t="s">
        <v>177</v>
      </c>
      <c r="B57" s="1">
        <v>0.14599999999999999</v>
      </c>
      <c r="C57" s="1">
        <v>0.92100000000000004</v>
      </c>
      <c r="D57" s="1">
        <v>0.92600000000000005</v>
      </c>
      <c r="E57" s="1">
        <v>0.92500000000000004</v>
      </c>
      <c r="F57" s="1">
        <v>0.98099999999999998</v>
      </c>
      <c r="G57" s="1">
        <v>0.93700000000000006</v>
      </c>
      <c r="H57" s="1">
        <v>1.0069999999999999</v>
      </c>
      <c r="I57" s="1">
        <v>1.052</v>
      </c>
      <c r="J57" s="1">
        <v>1.0349999999999999</v>
      </c>
      <c r="K57" s="1">
        <v>0.85499999999999998</v>
      </c>
      <c r="L57" s="1">
        <v>0.89700000000000002</v>
      </c>
      <c r="M57" s="1">
        <v>8.16</v>
      </c>
      <c r="N57" t="s">
        <v>141</v>
      </c>
      <c r="O57" t="s">
        <v>140</v>
      </c>
      <c r="P57" t="s">
        <v>140</v>
      </c>
      <c r="Q57" t="s">
        <v>140</v>
      </c>
      <c r="R57" t="s">
        <v>140</v>
      </c>
      <c r="S57" t="s">
        <v>140</v>
      </c>
      <c r="T57" t="s">
        <v>140</v>
      </c>
      <c r="U57" t="s">
        <v>140</v>
      </c>
      <c r="V57" t="s">
        <v>140</v>
      </c>
      <c r="W57" t="s">
        <v>140</v>
      </c>
      <c r="X57" t="s">
        <v>140</v>
      </c>
      <c r="Y57" t="s">
        <v>140</v>
      </c>
      <c r="Z57" t="s">
        <v>140</v>
      </c>
      <c r="AA57" t="s">
        <v>140</v>
      </c>
      <c r="AB57" t="s">
        <v>140</v>
      </c>
      <c r="AC57" t="s">
        <v>140</v>
      </c>
      <c r="AD57" t="s">
        <v>140</v>
      </c>
      <c r="AE57" t="s">
        <v>140</v>
      </c>
      <c r="AF57" t="s">
        <v>140</v>
      </c>
      <c r="AG57" t="s">
        <v>140</v>
      </c>
      <c r="AH57" t="s">
        <v>140</v>
      </c>
      <c r="AI57" t="s">
        <v>140</v>
      </c>
      <c r="AJ57" t="s">
        <v>140</v>
      </c>
      <c r="AK57" t="s">
        <v>140</v>
      </c>
      <c r="AL57" t="s">
        <v>140</v>
      </c>
      <c r="AM57" t="s">
        <v>140</v>
      </c>
      <c r="AN57" t="s">
        <v>140</v>
      </c>
      <c r="AO57" t="s">
        <v>140</v>
      </c>
      <c r="AP57" t="s">
        <v>140</v>
      </c>
      <c r="AQ57" t="s">
        <v>140</v>
      </c>
      <c r="AR57" t="s">
        <v>140</v>
      </c>
      <c r="AS57" t="s">
        <v>140</v>
      </c>
      <c r="AT57" t="s">
        <v>140</v>
      </c>
      <c r="AU57" t="s">
        <v>140</v>
      </c>
      <c r="AV57" t="s">
        <v>140</v>
      </c>
      <c r="AW57" t="s">
        <v>140</v>
      </c>
      <c r="AX57" t="s">
        <v>140</v>
      </c>
      <c r="AY57" t="s">
        <v>140</v>
      </c>
      <c r="AZ57" t="s">
        <v>140</v>
      </c>
      <c r="BA57" t="s">
        <v>140</v>
      </c>
      <c r="BB57" t="s">
        <v>140</v>
      </c>
      <c r="BC57" t="s">
        <v>140</v>
      </c>
      <c r="BD57" t="s">
        <v>140</v>
      </c>
      <c r="BE57" t="s">
        <v>140</v>
      </c>
      <c r="BF57" t="s">
        <v>140</v>
      </c>
      <c r="BG57" t="s">
        <v>140</v>
      </c>
      <c r="BH57" t="s">
        <v>140</v>
      </c>
      <c r="BI57" t="s">
        <v>140</v>
      </c>
      <c r="BJ57" t="s">
        <v>140</v>
      </c>
      <c r="BK57" t="s">
        <v>140</v>
      </c>
      <c r="BL57" t="s">
        <v>140</v>
      </c>
      <c r="BM57" t="s">
        <v>140</v>
      </c>
      <c r="BN57" t="s">
        <v>140</v>
      </c>
      <c r="BO57" t="s">
        <v>140</v>
      </c>
      <c r="BP57" t="s">
        <v>140</v>
      </c>
      <c r="BQ57" t="s">
        <v>140</v>
      </c>
      <c r="BR57" t="s">
        <v>140</v>
      </c>
      <c r="BS57" t="s">
        <v>140</v>
      </c>
      <c r="BT57" t="s">
        <v>140</v>
      </c>
      <c r="BU57" t="s">
        <v>140</v>
      </c>
      <c r="BV57" t="s">
        <v>140</v>
      </c>
      <c r="BW57" t="s">
        <v>140</v>
      </c>
      <c r="BX57" t="s">
        <v>140</v>
      </c>
      <c r="BY57" t="s">
        <v>140</v>
      </c>
      <c r="BZ57" t="s">
        <v>140</v>
      </c>
      <c r="CA57" t="s">
        <v>140</v>
      </c>
      <c r="CB57" t="s">
        <v>140</v>
      </c>
      <c r="CC57" t="s">
        <v>140</v>
      </c>
      <c r="CD57" t="s">
        <v>140</v>
      </c>
      <c r="CE57" t="s">
        <v>140</v>
      </c>
      <c r="CF57" t="s">
        <v>140</v>
      </c>
      <c r="CG57" t="s">
        <v>140</v>
      </c>
      <c r="CH57" t="s">
        <v>140</v>
      </c>
      <c r="CI57" t="s">
        <v>140</v>
      </c>
      <c r="CJ57" t="s">
        <v>140</v>
      </c>
      <c r="CK57" t="s">
        <v>140</v>
      </c>
      <c r="CL57" t="s">
        <v>140</v>
      </c>
      <c r="CM57" t="s">
        <v>140</v>
      </c>
      <c r="CN57" t="s">
        <v>140</v>
      </c>
      <c r="CO57" t="s">
        <v>140</v>
      </c>
      <c r="CP57" t="s">
        <v>140</v>
      </c>
      <c r="CQ57" t="s">
        <v>140</v>
      </c>
      <c r="CR57" t="s">
        <v>140</v>
      </c>
      <c r="CS57" t="s">
        <v>140</v>
      </c>
      <c r="CT57" t="s">
        <v>140</v>
      </c>
      <c r="CU57" t="s">
        <v>140</v>
      </c>
      <c r="CV57" t="s">
        <v>140</v>
      </c>
      <c r="CW57" t="s">
        <v>140</v>
      </c>
      <c r="CX57" t="s">
        <v>140</v>
      </c>
      <c r="CY57" t="s">
        <v>140</v>
      </c>
      <c r="CZ57" t="s">
        <v>140</v>
      </c>
      <c r="DA57" t="s">
        <v>140</v>
      </c>
      <c r="DB57" t="s">
        <v>140</v>
      </c>
      <c r="DC57" s="1">
        <v>0</v>
      </c>
      <c r="DD57" s="1">
        <v>0</v>
      </c>
      <c r="DE57" s="1">
        <v>0</v>
      </c>
      <c r="DF57" s="1">
        <v>0</v>
      </c>
      <c r="DG57" s="1">
        <v>0.20899999999999999</v>
      </c>
      <c r="DH57" s="1">
        <v>0.13600000000000001</v>
      </c>
      <c r="DI57" s="1">
        <v>0.23799999999999999</v>
      </c>
      <c r="DJ57" s="1">
        <v>0.109</v>
      </c>
      <c r="DK57" s="1">
        <v>0.27500000000000002</v>
      </c>
      <c r="DL57" s="1">
        <v>0.28999999999999998</v>
      </c>
      <c r="DM57" s="1">
        <v>0.17899999999999999</v>
      </c>
      <c r="DN57" s="1">
        <v>0.129</v>
      </c>
      <c r="DO57" s="1">
        <v>0.245</v>
      </c>
      <c r="DP57" s="1">
        <v>0.18099999999999999</v>
      </c>
      <c r="DQ57" s="1">
        <v>0.11600000000000001</v>
      </c>
      <c r="DR57" s="1">
        <v>0.20200000000000001</v>
      </c>
      <c r="DS57" s="1">
        <v>0.26500000000000001</v>
      </c>
      <c r="DT57" s="1">
        <v>0.26800000000000002</v>
      </c>
      <c r="DU57" s="1">
        <v>0.39700000000000002</v>
      </c>
      <c r="DV57" s="1">
        <v>0.21</v>
      </c>
      <c r="DW57" s="1">
        <v>0.21299999999999999</v>
      </c>
      <c r="DX57" s="1">
        <v>7.3999999999999996E-2</v>
      </c>
      <c r="DY57" s="1">
        <v>0.29399999999999998</v>
      </c>
      <c r="DZ57" s="1">
        <v>0.248</v>
      </c>
      <c r="EA57" s="1">
        <v>0.44900000000000001</v>
      </c>
      <c r="EB57" s="1">
        <v>-0.123</v>
      </c>
      <c r="EC57" s="1">
        <v>-0.69499999999999995</v>
      </c>
      <c r="ED57" s="1">
        <v>0.57799999999999996</v>
      </c>
    </row>
    <row r="58" spans="1:134" x14ac:dyDescent="0.25">
      <c r="A58" t="s">
        <v>178</v>
      </c>
      <c r="B58" s="1">
        <v>0</v>
      </c>
      <c r="C58" s="1">
        <v>3.26</v>
      </c>
      <c r="D58" s="1">
        <v>3.48</v>
      </c>
      <c r="E58" s="1">
        <v>3.47</v>
      </c>
      <c r="F58" s="1">
        <v>3.78</v>
      </c>
      <c r="G58" s="1">
        <v>3.9</v>
      </c>
      <c r="H58" s="1">
        <v>3.35</v>
      </c>
      <c r="I58" s="1">
        <v>3.35</v>
      </c>
      <c r="J58" s="1">
        <v>3.95</v>
      </c>
      <c r="K58" s="1">
        <v>5.47</v>
      </c>
      <c r="L58" s="1">
        <v>7.86</v>
      </c>
      <c r="M58" s="1">
        <v>7.43</v>
      </c>
      <c r="N58" t="s">
        <v>141</v>
      </c>
      <c r="O58" t="s">
        <v>140</v>
      </c>
      <c r="P58" t="s">
        <v>140</v>
      </c>
      <c r="Q58" t="s">
        <v>140</v>
      </c>
      <c r="R58" t="s">
        <v>140</v>
      </c>
      <c r="S58" t="s">
        <v>140</v>
      </c>
      <c r="T58" t="s">
        <v>140</v>
      </c>
      <c r="U58" t="s">
        <v>140</v>
      </c>
      <c r="V58" t="s">
        <v>140</v>
      </c>
      <c r="W58" t="s">
        <v>140</v>
      </c>
      <c r="X58" t="s">
        <v>140</v>
      </c>
      <c r="Y58" t="s">
        <v>140</v>
      </c>
      <c r="Z58" t="s">
        <v>140</v>
      </c>
      <c r="AA58" t="s">
        <v>140</v>
      </c>
      <c r="AB58" t="s">
        <v>140</v>
      </c>
      <c r="AC58" t="s">
        <v>140</v>
      </c>
      <c r="AD58" t="s">
        <v>140</v>
      </c>
      <c r="AE58" t="s">
        <v>140</v>
      </c>
      <c r="AF58" t="s">
        <v>140</v>
      </c>
      <c r="AG58" t="s">
        <v>140</v>
      </c>
      <c r="AH58" t="s">
        <v>140</v>
      </c>
      <c r="AI58" t="s">
        <v>140</v>
      </c>
      <c r="AJ58" t="s">
        <v>140</v>
      </c>
      <c r="AK58" t="s">
        <v>140</v>
      </c>
      <c r="AL58" t="s">
        <v>140</v>
      </c>
      <c r="AM58" t="s">
        <v>140</v>
      </c>
      <c r="AN58" t="s">
        <v>140</v>
      </c>
      <c r="AO58" t="s">
        <v>140</v>
      </c>
      <c r="AP58" t="s">
        <v>140</v>
      </c>
      <c r="AQ58" t="s">
        <v>140</v>
      </c>
      <c r="AR58" t="s">
        <v>140</v>
      </c>
      <c r="AS58" t="s">
        <v>140</v>
      </c>
      <c r="AT58" t="s">
        <v>140</v>
      </c>
      <c r="AU58" t="s">
        <v>140</v>
      </c>
      <c r="AV58" t="s">
        <v>140</v>
      </c>
      <c r="AW58" t="s">
        <v>140</v>
      </c>
      <c r="AX58" t="s">
        <v>140</v>
      </c>
      <c r="AY58" t="s">
        <v>140</v>
      </c>
      <c r="AZ58" t="s">
        <v>140</v>
      </c>
      <c r="BA58" t="s">
        <v>140</v>
      </c>
      <c r="BB58" t="s">
        <v>140</v>
      </c>
      <c r="BC58" t="s">
        <v>140</v>
      </c>
      <c r="BD58" t="s">
        <v>140</v>
      </c>
      <c r="BE58" t="s">
        <v>140</v>
      </c>
      <c r="BF58" t="s">
        <v>140</v>
      </c>
      <c r="BG58" t="s">
        <v>140</v>
      </c>
      <c r="BH58" t="s">
        <v>140</v>
      </c>
      <c r="BI58" t="s">
        <v>140</v>
      </c>
      <c r="BJ58" t="s">
        <v>140</v>
      </c>
      <c r="BK58" t="s">
        <v>140</v>
      </c>
      <c r="BL58" t="s">
        <v>140</v>
      </c>
      <c r="BM58" t="s">
        <v>140</v>
      </c>
      <c r="BN58" t="s">
        <v>140</v>
      </c>
      <c r="BO58" t="s">
        <v>140</v>
      </c>
      <c r="BP58" t="s">
        <v>140</v>
      </c>
      <c r="BQ58" t="s">
        <v>140</v>
      </c>
      <c r="BR58" t="s">
        <v>140</v>
      </c>
      <c r="BS58" t="s">
        <v>140</v>
      </c>
      <c r="BT58" t="s">
        <v>140</v>
      </c>
      <c r="BU58" t="s">
        <v>140</v>
      </c>
      <c r="BV58" t="s">
        <v>140</v>
      </c>
      <c r="BW58" t="s">
        <v>140</v>
      </c>
      <c r="BX58" t="s">
        <v>140</v>
      </c>
      <c r="BY58" t="s">
        <v>140</v>
      </c>
      <c r="BZ58" t="s">
        <v>140</v>
      </c>
      <c r="CA58" t="s">
        <v>140</v>
      </c>
      <c r="CB58" t="s">
        <v>140</v>
      </c>
      <c r="CC58" t="s">
        <v>140</v>
      </c>
      <c r="CD58" t="s">
        <v>140</v>
      </c>
      <c r="CE58" t="s">
        <v>140</v>
      </c>
      <c r="CF58" t="s">
        <v>140</v>
      </c>
      <c r="CG58" t="s">
        <v>140</v>
      </c>
      <c r="CH58" t="s">
        <v>140</v>
      </c>
      <c r="CI58" t="s">
        <v>140</v>
      </c>
      <c r="CJ58" t="s">
        <v>140</v>
      </c>
      <c r="CK58" t="s">
        <v>140</v>
      </c>
      <c r="CL58" t="s">
        <v>140</v>
      </c>
      <c r="CM58" t="s">
        <v>140</v>
      </c>
      <c r="CN58" t="s">
        <v>140</v>
      </c>
      <c r="CO58" t="s">
        <v>140</v>
      </c>
      <c r="CP58" t="s">
        <v>140</v>
      </c>
      <c r="CQ58" t="s">
        <v>140</v>
      </c>
      <c r="CR58" t="s">
        <v>140</v>
      </c>
      <c r="CS58" t="s">
        <v>140</v>
      </c>
      <c r="CT58" t="s">
        <v>140</v>
      </c>
      <c r="CU58" t="s">
        <v>140</v>
      </c>
      <c r="CV58" t="s">
        <v>140</v>
      </c>
      <c r="CW58" t="s">
        <v>140</v>
      </c>
      <c r="CX58" t="s">
        <v>140</v>
      </c>
      <c r="CY58" t="s">
        <v>140</v>
      </c>
      <c r="CZ58" t="s">
        <v>140</v>
      </c>
      <c r="DA58" t="s">
        <v>140</v>
      </c>
      <c r="DB58" t="s">
        <v>140</v>
      </c>
      <c r="DC58" s="1">
        <v>0</v>
      </c>
      <c r="DD58" s="1">
        <v>0</v>
      </c>
      <c r="DE58" s="1">
        <v>0</v>
      </c>
      <c r="DF58" s="1">
        <v>0</v>
      </c>
      <c r="DG58" s="1">
        <v>9.06</v>
      </c>
      <c r="DH58" s="1">
        <v>0</v>
      </c>
      <c r="DI58" s="1">
        <v>0</v>
      </c>
      <c r="DJ58" s="1">
        <v>0</v>
      </c>
      <c r="DK58" s="1">
        <v>0</v>
      </c>
      <c r="DL58" s="1">
        <v>3.18</v>
      </c>
      <c r="DM58" s="1">
        <v>6.99</v>
      </c>
      <c r="DN58" s="1">
        <v>7.25</v>
      </c>
      <c r="DO58" s="1">
        <v>3.45</v>
      </c>
      <c r="DP58" s="1">
        <v>3.14</v>
      </c>
      <c r="DQ58" s="1">
        <v>3.48</v>
      </c>
      <c r="DR58" s="1">
        <v>4.13</v>
      </c>
      <c r="DS58" s="1">
        <v>4.32</v>
      </c>
      <c r="DT58" s="1">
        <v>3.91</v>
      </c>
      <c r="DU58" s="1">
        <v>3.49</v>
      </c>
      <c r="DV58" s="1">
        <v>3.18</v>
      </c>
      <c r="DW58" s="1">
        <v>3.26</v>
      </c>
      <c r="DX58" s="1">
        <v>3.69</v>
      </c>
      <c r="DY58" s="1">
        <v>3.89</v>
      </c>
      <c r="DZ58" s="1">
        <v>3.84</v>
      </c>
      <c r="EA58" s="1">
        <v>3.82</v>
      </c>
      <c r="EB58" s="1">
        <v>5.46</v>
      </c>
      <c r="EC58" s="1">
        <v>7.03</v>
      </c>
      <c r="ED58" s="1">
        <v>7.38</v>
      </c>
    </row>
    <row r="59" spans="1:134" x14ac:dyDescent="0.25">
      <c r="A59" t="s">
        <v>179</v>
      </c>
      <c r="B59" s="1">
        <v>215.6</v>
      </c>
      <c r="C59" s="1">
        <v>114.91</v>
      </c>
      <c r="D59" s="1">
        <v>12.75</v>
      </c>
      <c r="E59" s="1">
        <v>7.01</v>
      </c>
      <c r="F59" s="1">
        <v>4</v>
      </c>
      <c r="G59" s="1">
        <v>9.18</v>
      </c>
      <c r="H59" s="1">
        <v>20.91</v>
      </c>
      <c r="I59" s="1">
        <v>25.67</v>
      </c>
      <c r="J59" s="1">
        <v>27.13</v>
      </c>
      <c r="K59" s="1">
        <v>71.739999999999995</v>
      </c>
      <c r="L59" s="1">
        <v>61.76</v>
      </c>
      <c r="M59" s="1">
        <v>80.540000000000006</v>
      </c>
      <c r="N59" t="s">
        <v>141</v>
      </c>
      <c r="O59" t="s">
        <v>140</v>
      </c>
      <c r="P59" t="s">
        <v>140</v>
      </c>
      <c r="Q59" t="s">
        <v>140</v>
      </c>
      <c r="R59" t="s">
        <v>140</v>
      </c>
      <c r="S59" t="s">
        <v>140</v>
      </c>
      <c r="T59" t="s">
        <v>140</v>
      </c>
      <c r="U59" t="s">
        <v>140</v>
      </c>
      <c r="V59" t="s">
        <v>140</v>
      </c>
      <c r="W59" t="s">
        <v>140</v>
      </c>
      <c r="X59" t="s">
        <v>140</v>
      </c>
      <c r="Y59" t="s">
        <v>140</v>
      </c>
      <c r="Z59" t="s">
        <v>140</v>
      </c>
      <c r="AA59" t="s">
        <v>140</v>
      </c>
      <c r="AB59" t="s">
        <v>140</v>
      </c>
      <c r="AC59" t="s">
        <v>140</v>
      </c>
      <c r="AD59" t="s">
        <v>140</v>
      </c>
      <c r="AE59" t="s">
        <v>140</v>
      </c>
      <c r="AF59" t="s">
        <v>140</v>
      </c>
      <c r="AG59" t="s">
        <v>140</v>
      </c>
      <c r="AH59" t="s">
        <v>140</v>
      </c>
      <c r="AI59" t="s">
        <v>140</v>
      </c>
      <c r="AJ59" t="s">
        <v>140</v>
      </c>
      <c r="AK59" t="s">
        <v>140</v>
      </c>
      <c r="AL59" t="s">
        <v>140</v>
      </c>
      <c r="AM59" t="s">
        <v>140</v>
      </c>
      <c r="AN59" t="s">
        <v>140</v>
      </c>
      <c r="AO59" t="s">
        <v>140</v>
      </c>
      <c r="AP59" t="s">
        <v>140</v>
      </c>
      <c r="AQ59" t="s">
        <v>140</v>
      </c>
      <c r="AR59" t="s">
        <v>140</v>
      </c>
      <c r="AS59" t="s">
        <v>140</v>
      </c>
      <c r="AT59" t="s">
        <v>140</v>
      </c>
      <c r="AU59" t="s">
        <v>140</v>
      </c>
      <c r="AV59" t="s">
        <v>140</v>
      </c>
      <c r="AW59" t="s">
        <v>140</v>
      </c>
      <c r="AX59" t="s">
        <v>140</v>
      </c>
      <c r="AY59" t="s">
        <v>140</v>
      </c>
      <c r="AZ59" t="s">
        <v>140</v>
      </c>
      <c r="BA59" t="s">
        <v>140</v>
      </c>
      <c r="BB59" t="s">
        <v>140</v>
      </c>
      <c r="BC59" t="s">
        <v>140</v>
      </c>
      <c r="BD59" t="s">
        <v>140</v>
      </c>
      <c r="BE59" t="s">
        <v>140</v>
      </c>
      <c r="BF59" t="s">
        <v>140</v>
      </c>
      <c r="BG59" t="s">
        <v>140</v>
      </c>
      <c r="BH59" t="s">
        <v>140</v>
      </c>
      <c r="BI59" t="s">
        <v>140</v>
      </c>
      <c r="BJ59" t="s">
        <v>140</v>
      </c>
      <c r="BK59" t="s">
        <v>140</v>
      </c>
      <c r="BL59" t="s">
        <v>140</v>
      </c>
      <c r="BM59" t="s">
        <v>140</v>
      </c>
      <c r="BN59" t="s">
        <v>140</v>
      </c>
      <c r="BO59" t="s">
        <v>140</v>
      </c>
      <c r="BP59" t="s">
        <v>140</v>
      </c>
      <c r="BQ59" t="s">
        <v>140</v>
      </c>
      <c r="BR59" t="s">
        <v>140</v>
      </c>
      <c r="BS59" t="s">
        <v>140</v>
      </c>
      <c r="BT59" t="s">
        <v>140</v>
      </c>
      <c r="BU59" t="s">
        <v>140</v>
      </c>
      <c r="BV59" t="s">
        <v>140</v>
      </c>
      <c r="BW59" t="s">
        <v>140</v>
      </c>
      <c r="BX59" t="s">
        <v>140</v>
      </c>
      <c r="BY59" t="s">
        <v>140</v>
      </c>
      <c r="BZ59" t="s">
        <v>140</v>
      </c>
      <c r="CA59" t="s">
        <v>140</v>
      </c>
      <c r="CB59" t="s">
        <v>140</v>
      </c>
      <c r="CC59" t="s">
        <v>140</v>
      </c>
      <c r="CD59" t="s">
        <v>140</v>
      </c>
      <c r="CE59" t="s">
        <v>140</v>
      </c>
      <c r="CF59" t="s">
        <v>140</v>
      </c>
      <c r="CG59" t="s">
        <v>140</v>
      </c>
      <c r="CH59" t="s">
        <v>140</v>
      </c>
      <c r="CI59" t="s">
        <v>140</v>
      </c>
      <c r="CJ59" t="s">
        <v>140</v>
      </c>
      <c r="CK59" t="s">
        <v>140</v>
      </c>
      <c r="CL59" t="s">
        <v>140</v>
      </c>
      <c r="CM59" t="s">
        <v>140</v>
      </c>
      <c r="CN59" t="s">
        <v>140</v>
      </c>
      <c r="CO59" t="s">
        <v>140</v>
      </c>
      <c r="CP59" t="s">
        <v>140</v>
      </c>
      <c r="CQ59" t="s">
        <v>140</v>
      </c>
      <c r="CR59" t="s">
        <v>140</v>
      </c>
      <c r="CS59" t="s">
        <v>140</v>
      </c>
      <c r="CT59" t="s">
        <v>140</v>
      </c>
      <c r="CU59" t="s">
        <v>140</v>
      </c>
      <c r="CV59" t="s">
        <v>140</v>
      </c>
      <c r="CW59" t="s">
        <v>140</v>
      </c>
      <c r="CX59" t="s">
        <v>140</v>
      </c>
      <c r="CY59" t="s">
        <v>140</v>
      </c>
      <c r="CZ59" t="s">
        <v>140</v>
      </c>
      <c r="DA59" t="s">
        <v>140</v>
      </c>
      <c r="DB59" t="s">
        <v>140</v>
      </c>
      <c r="DC59" s="1">
        <v>0</v>
      </c>
      <c r="DD59" s="1">
        <v>0</v>
      </c>
      <c r="DE59" s="1">
        <v>0</v>
      </c>
      <c r="DF59" s="1">
        <v>0</v>
      </c>
      <c r="DG59" s="1">
        <v>250.08</v>
      </c>
      <c r="DH59" s="1">
        <v>215.48</v>
      </c>
      <c r="DI59" s="1">
        <v>200.52</v>
      </c>
      <c r="DJ59" s="1">
        <v>204.75</v>
      </c>
      <c r="DK59" s="1">
        <v>206.66</v>
      </c>
      <c r="DL59" s="1">
        <v>97.63</v>
      </c>
      <c r="DM59" s="1">
        <v>105.7</v>
      </c>
      <c r="DN59" s="1">
        <v>103.27</v>
      </c>
      <c r="DO59" s="1">
        <v>8.32</v>
      </c>
      <c r="DP59" s="1">
        <v>4.4800000000000004</v>
      </c>
      <c r="DQ59" s="1">
        <v>5.49</v>
      </c>
      <c r="DR59" s="1">
        <v>6.71</v>
      </c>
      <c r="DS59" s="1">
        <v>6.7</v>
      </c>
      <c r="DT59" s="1">
        <v>10.91</v>
      </c>
      <c r="DU59" s="1">
        <v>14.45</v>
      </c>
      <c r="DV59" s="1">
        <v>23.04</v>
      </c>
      <c r="DW59" s="1">
        <v>24.7</v>
      </c>
      <c r="DX59" s="1">
        <v>23.39</v>
      </c>
      <c r="DY59" s="1">
        <v>25.09</v>
      </c>
      <c r="DZ59" s="1">
        <v>27.68</v>
      </c>
      <c r="EA59" s="1">
        <v>26.48</v>
      </c>
      <c r="EB59" s="1">
        <v>71.11</v>
      </c>
      <c r="EC59" s="1">
        <v>122.15</v>
      </c>
      <c r="ED59" s="1">
        <v>60.53</v>
      </c>
    </row>
    <row r="60" spans="1:134" x14ac:dyDescent="0.25">
      <c r="A60" t="s">
        <v>180</v>
      </c>
      <c r="B60" s="1">
        <v>0</v>
      </c>
      <c r="C60" s="1">
        <v>0</v>
      </c>
      <c r="D60" s="1">
        <v>0</v>
      </c>
      <c r="E60" s="1">
        <v>0</v>
      </c>
      <c r="F60" s="1">
        <v>0</v>
      </c>
      <c r="G60" s="1">
        <v>501.53</v>
      </c>
      <c r="H60" s="1">
        <v>493.98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t="s">
        <v>141</v>
      </c>
      <c r="O60" t="s">
        <v>140</v>
      </c>
      <c r="P60" t="s">
        <v>140</v>
      </c>
      <c r="Q60" t="s">
        <v>140</v>
      </c>
      <c r="R60" t="s">
        <v>140</v>
      </c>
      <c r="S60" t="s">
        <v>140</v>
      </c>
      <c r="T60" t="s">
        <v>140</v>
      </c>
      <c r="U60" t="s">
        <v>140</v>
      </c>
      <c r="V60" t="s">
        <v>140</v>
      </c>
      <c r="W60" t="s">
        <v>140</v>
      </c>
      <c r="X60" t="s">
        <v>140</v>
      </c>
      <c r="Y60" t="s">
        <v>140</v>
      </c>
      <c r="Z60" t="s">
        <v>140</v>
      </c>
      <c r="AA60" t="s">
        <v>140</v>
      </c>
      <c r="AB60" t="s">
        <v>140</v>
      </c>
      <c r="AC60" t="s">
        <v>140</v>
      </c>
      <c r="AD60" t="s">
        <v>140</v>
      </c>
      <c r="AE60" t="s">
        <v>140</v>
      </c>
      <c r="AF60" t="s">
        <v>140</v>
      </c>
      <c r="AG60" t="s">
        <v>140</v>
      </c>
      <c r="AH60" t="s">
        <v>140</v>
      </c>
      <c r="AI60" t="s">
        <v>140</v>
      </c>
      <c r="AJ60" t="s">
        <v>140</v>
      </c>
      <c r="AK60" t="s">
        <v>140</v>
      </c>
      <c r="AL60" t="s">
        <v>140</v>
      </c>
      <c r="AM60" t="s">
        <v>140</v>
      </c>
      <c r="AN60" t="s">
        <v>140</v>
      </c>
      <c r="AO60" t="s">
        <v>140</v>
      </c>
      <c r="AP60" t="s">
        <v>140</v>
      </c>
      <c r="AQ60" t="s">
        <v>140</v>
      </c>
      <c r="AR60" t="s">
        <v>140</v>
      </c>
      <c r="AS60" t="s">
        <v>140</v>
      </c>
      <c r="AT60" t="s">
        <v>140</v>
      </c>
      <c r="AU60" t="s">
        <v>140</v>
      </c>
      <c r="AV60" t="s">
        <v>140</v>
      </c>
      <c r="AW60" t="s">
        <v>140</v>
      </c>
      <c r="AX60" t="s">
        <v>140</v>
      </c>
      <c r="AY60" t="s">
        <v>140</v>
      </c>
      <c r="AZ60" t="s">
        <v>140</v>
      </c>
      <c r="BA60" t="s">
        <v>140</v>
      </c>
      <c r="BB60" t="s">
        <v>140</v>
      </c>
      <c r="BC60" t="s">
        <v>140</v>
      </c>
      <c r="BD60" t="s">
        <v>140</v>
      </c>
      <c r="BE60" t="s">
        <v>140</v>
      </c>
      <c r="BF60" t="s">
        <v>140</v>
      </c>
      <c r="BG60" t="s">
        <v>140</v>
      </c>
      <c r="BH60" t="s">
        <v>140</v>
      </c>
      <c r="BI60" t="s">
        <v>140</v>
      </c>
      <c r="BJ60" t="s">
        <v>140</v>
      </c>
      <c r="BK60" t="s">
        <v>140</v>
      </c>
      <c r="BL60" t="s">
        <v>140</v>
      </c>
      <c r="BM60" t="s">
        <v>140</v>
      </c>
      <c r="BN60" t="s">
        <v>140</v>
      </c>
      <c r="BO60" t="s">
        <v>140</v>
      </c>
      <c r="BP60" t="s">
        <v>140</v>
      </c>
      <c r="BQ60" t="s">
        <v>140</v>
      </c>
      <c r="BR60" t="s">
        <v>140</v>
      </c>
      <c r="BS60" t="s">
        <v>140</v>
      </c>
      <c r="BT60" t="s">
        <v>140</v>
      </c>
      <c r="BU60" t="s">
        <v>140</v>
      </c>
      <c r="BV60" t="s">
        <v>140</v>
      </c>
      <c r="BW60" t="s">
        <v>140</v>
      </c>
      <c r="BX60" t="s">
        <v>140</v>
      </c>
      <c r="BY60" t="s">
        <v>140</v>
      </c>
      <c r="BZ60" t="s">
        <v>140</v>
      </c>
      <c r="CA60" t="s">
        <v>140</v>
      </c>
      <c r="CB60" t="s">
        <v>140</v>
      </c>
      <c r="CC60" t="s">
        <v>140</v>
      </c>
      <c r="CD60" t="s">
        <v>140</v>
      </c>
      <c r="CE60" t="s">
        <v>140</v>
      </c>
      <c r="CF60" t="s">
        <v>140</v>
      </c>
      <c r="CG60" t="s">
        <v>140</v>
      </c>
      <c r="CH60" t="s">
        <v>140</v>
      </c>
      <c r="CI60" t="s">
        <v>140</v>
      </c>
      <c r="CJ60" t="s">
        <v>140</v>
      </c>
      <c r="CK60" t="s">
        <v>140</v>
      </c>
      <c r="CL60" t="s">
        <v>140</v>
      </c>
      <c r="CM60" t="s">
        <v>140</v>
      </c>
      <c r="CN60" t="s">
        <v>140</v>
      </c>
      <c r="CO60" t="s">
        <v>140</v>
      </c>
      <c r="CP60" t="s">
        <v>140</v>
      </c>
      <c r="CQ60" t="s">
        <v>140</v>
      </c>
      <c r="CR60" t="s">
        <v>140</v>
      </c>
      <c r="CS60" t="s">
        <v>140</v>
      </c>
      <c r="CT60" t="s">
        <v>140</v>
      </c>
      <c r="CU60" t="s">
        <v>140</v>
      </c>
      <c r="CV60" t="s">
        <v>140</v>
      </c>
      <c r="CW60" t="s">
        <v>140</v>
      </c>
      <c r="CX60" t="s">
        <v>140</v>
      </c>
      <c r="CY60" t="s">
        <v>140</v>
      </c>
      <c r="CZ60" t="s">
        <v>140</v>
      </c>
      <c r="DA60" t="s">
        <v>140</v>
      </c>
      <c r="DB60" t="s">
        <v>140</v>
      </c>
      <c r="DC60" s="1">
        <v>0</v>
      </c>
      <c r="DD60" s="1">
        <v>0</v>
      </c>
      <c r="DE60" s="1">
        <v>0</v>
      </c>
      <c r="DF60" s="1">
        <v>0</v>
      </c>
      <c r="DG60" s="1">
        <v>0</v>
      </c>
      <c r="DH60" s="1">
        <v>0</v>
      </c>
      <c r="DI60" s="1">
        <v>0</v>
      </c>
      <c r="DJ60" s="1">
        <v>0</v>
      </c>
      <c r="DK60" s="1">
        <v>0</v>
      </c>
      <c r="DL60" s="1">
        <v>0</v>
      </c>
      <c r="DM60" s="1">
        <v>0</v>
      </c>
      <c r="DN60" s="1">
        <v>0</v>
      </c>
      <c r="DO60" s="1">
        <v>0</v>
      </c>
      <c r="DP60" s="1">
        <v>0</v>
      </c>
      <c r="DQ60" s="1">
        <v>279.58999999999997</v>
      </c>
      <c r="DR60" s="1">
        <v>290.7</v>
      </c>
      <c r="DS60" s="1">
        <v>220.71</v>
      </c>
      <c r="DT60" s="1">
        <v>350.97</v>
      </c>
      <c r="DU60" s="1">
        <v>478.13</v>
      </c>
      <c r="DV60" s="1">
        <v>0</v>
      </c>
      <c r="DW60" s="1">
        <v>0</v>
      </c>
      <c r="DX60" s="1">
        <v>0</v>
      </c>
      <c r="DY60" s="1">
        <v>0</v>
      </c>
      <c r="DZ60" s="1">
        <v>0</v>
      </c>
      <c r="EA60" s="1">
        <v>0</v>
      </c>
      <c r="EB60" s="1">
        <v>0</v>
      </c>
      <c r="EC60" s="1">
        <v>0</v>
      </c>
      <c r="ED60" s="1">
        <v>0</v>
      </c>
    </row>
    <row r="61" spans="1:134" x14ac:dyDescent="0.25">
      <c r="A61" t="s">
        <v>181</v>
      </c>
      <c r="B61" s="1">
        <v>-215.6</v>
      </c>
      <c r="C61" s="1">
        <v>-111.64999999999999</v>
      </c>
      <c r="D61" s="1">
        <v>-9.27</v>
      </c>
      <c r="E61" s="1">
        <v>-3.5399999999999996</v>
      </c>
      <c r="F61" s="1">
        <v>-0.2200000000000002</v>
      </c>
      <c r="G61" s="1">
        <v>496.24999999999994</v>
      </c>
      <c r="H61" s="1">
        <v>476.42</v>
      </c>
      <c r="I61" s="1">
        <v>-22.32</v>
      </c>
      <c r="J61" s="1">
        <v>-23.18</v>
      </c>
      <c r="K61" s="1">
        <v>-66.27</v>
      </c>
      <c r="L61" s="1">
        <v>-53.9</v>
      </c>
      <c r="M61" s="1">
        <v>-73.110000000000014</v>
      </c>
      <c r="N61" t="s">
        <v>141</v>
      </c>
      <c r="O61" t="s">
        <v>140</v>
      </c>
      <c r="P61" t="s">
        <v>140</v>
      </c>
      <c r="Q61" t="s">
        <v>140</v>
      </c>
      <c r="R61" t="s">
        <v>140</v>
      </c>
      <c r="S61" t="s">
        <v>140</v>
      </c>
      <c r="T61" t="s">
        <v>140</v>
      </c>
      <c r="U61" t="s">
        <v>140</v>
      </c>
      <c r="V61" t="s">
        <v>140</v>
      </c>
      <c r="W61" t="s">
        <v>140</v>
      </c>
      <c r="X61" t="s">
        <v>140</v>
      </c>
      <c r="Y61" t="s">
        <v>140</v>
      </c>
      <c r="Z61" t="s">
        <v>140</v>
      </c>
      <c r="AA61" t="s">
        <v>140</v>
      </c>
      <c r="AB61" t="s">
        <v>140</v>
      </c>
      <c r="AC61" t="s">
        <v>140</v>
      </c>
      <c r="AD61" t="s">
        <v>140</v>
      </c>
      <c r="AE61" t="s">
        <v>140</v>
      </c>
      <c r="AF61" t="s">
        <v>140</v>
      </c>
      <c r="AG61" t="s">
        <v>140</v>
      </c>
      <c r="AH61" t="s">
        <v>140</v>
      </c>
      <c r="AI61" t="s">
        <v>140</v>
      </c>
      <c r="AJ61" t="s">
        <v>140</v>
      </c>
      <c r="AK61" t="s">
        <v>140</v>
      </c>
      <c r="AL61" t="s">
        <v>140</v>
      </c>
      <c r="AM61" t="s">
        <v>140</v>
      </c>
      <c r="AN61" t="s">
        <v>140</v>
      </c>
      <c r="AO61" t="s">
        <v>140</v>
      </c>
      <c r="AP61" t="s">
        <v>140</v>
      </c>
      <c r="AQ61" t="s">
        <v>140</v>
      </c>
      <c r="AR61" t="s">
        <v>140</v>
      </c>
      <c r="AS61" t="s">
        <v>140</v>
      </c>
      <c r="AT61" t="s">
        <v>140</v>
      </c>
      <c r="AU61" t="s">
        <v>140</v>
      </c>
      <c r="AV61" t="s">
        <v>140</v>
      </c>
      <c r="AW61" t="s">
        <v>140</v>
      </c>
      <c r="AX61" t="s">
        <v>140</v>
      </c>
      <c r="AY61" t="s">
        <v>140</v>
      </c>
      <c r="AZ61" t="s">
        <v>140</v>
      </c>
      <c r="BA61" t="s">
        <v>140</v>
      </c>
      <c r="BB61" t="s">
        <v>140</v>
      </c>
      <c r="BC61" t="s">
        <v>140</v>
      </c>
      <c r="BD61" t="s">
        <v>140</v>
      </c>
      <c r="BE61" t="s">
        <v>140</v>
      </c>
      <c r="BF61" t="s">
        <v>140</v>
      </c>
      <c r="BG61" t="s">
        <v>140</v>
      </c>
      <c r="BH61" t="s">
        <v>140</v>
      </c>
      <c r="BI61" t="s">
        <v>140</v>
      </c>
      <c r="BJ61" t="s">
        <v>140</v>
      </c>
      <c r="BK61" t="s">
        <v>140</v>
      </c>
      <c r="BL61" t="s">
        <v>140</v>
      </c>
      <c r="BM61" t="s">
        <v>140</v>
      </c>
      <c r="BN61" t="s">
        <v>140</v>
      </c>
      <c r="BO61" t="s">
        <v>140</v>
      </c>
      <c r="BP61" t="s">
        <v>140</v>
      </c>
      <c r="BQ61" t="s">
        <v>140</v>
      </c>
      <c r="BR61" t="s">
        <v>140</v>
      </c>
      <c r="BS61" t="s">
        <v>140</v>
      </c>
      <c r="BT61" t="s">
        <v>140</v>
      </c>
      <c r="BU61" t="s">
        <v>140</v>
      </c>
      <c r="BV61" t="s">
        <v>140</v>
      </c>
      <c r="BW61" t="s">
        <v>140</v>
      </c>
      <c r="BX61" t="s">
        <v>140</v>
      </c>
      <c r="BY61" t="s">
        <v>140</v>
      </c>
      <c r="BZ61" t="s">
        <v>140</v>
      </c>
      <c r="CA61" t="s">
        <v>140</v>
      </c>
      <c r="CB61" t="s">
        <v>140</v>
      </c>
      <c r="CC61" t="s">
        <v>140</v>
      </c>
      <c r="CD61" t="s">
        <v>140</v>
      </c>
      <c r="CE61" t="s">
        <v>140</v>
      </c>
      <c r="CF61" t="s">
        <v>140</v>
      </c>
      <c r="CG61" t="s">
        <v>140</v>
      </c>
      <c r="CH61" t="s">
        <v>140</v>
      </c>
      <c r="CI61" t="s">
        <v>140</v>
      </c>
      <c r="CJ61" t="s">
        <v>140</v>
      </c>
      <c r="CK61" t="s">
        <v>140</v>
      </c>
      <c r="CL61" t="s">
        <v>140</v>
      </c>
      <c r="CM61" t="s">
        <v>140</v>
      </c>
      <c r="CN61" t="s">
        <v>140</v>
      </c>
      <c r="CO61" t="s">
        <v>140</v>
      </c>
      <c r="CP61" t="s">
        <v>140</v>
      </c>
      <c r="CQ61" t="s">
        <v>140</v>
      </c>
      <c r="CR61" t="s">
        <v>140</v>
      </c>
      <c r="CS61" t="s">
        <v>140</v>
      </c>
      <c r="CT61" t="s">
        <v>140</v>
      </c>
      <c r="CU61" t="s">
        <v>140</v>
      </c>
      <c r="CV61" t="s">
        <v>140</v>
      </c>
      <c r="CW61" t="s">
        <v>140</v>
      </c>
      <c r="CX61" t="s">
        <v>140</v>
      </c>
      <c r="CY61" t="s">
        <v>140</v>
      </c>
      <c r="CZ61" t="s">
        <v>140</v>
      </c>
      <c r="DA61" t="s">
        <v>140</v>
      </c>
      <c r="DB61" t="s">
        <v>140</v>
      </c>
      <c r="DC61" s="1">
        <v>0</v>
      </c>
      <c r="DD61" s="1">
        <v>0</v>
      </c>
      <c r="DE61" s="1">
        <v>0</v>
      </c>
      <c r="DF61" s="1">
        <v>0</v>
      </c>
      <c r="DG61" s="1">
        <v>-241.02</v>
      </c>
      <c r="DH61" s="1">
        <v>-215.48</v>
      </c>
      <c r="DI61" s="1">
        <v>-200.52</v>
      </c>
      <c r="DJ61" s="1">
        <v>-204.75</v>
      </c>
      <c r="DK61" s="1">
        <v>-206.66</v>
      </c>
      <c r="DL61" s="1">
        <v>-94.449999999999989</v>
      </c>
      <c r="DM61" s="1">
        <v>-98.710000000000008</v>
      </c>
      <c r="DN61" s="1">
        <v>-96.02</v>
      </c>
      <c r="DO61" s="1">
        <v>-4.87</v>
      </c>
      <c r="DP61" s="1">
        <v>-1.3400000000000003</v>
      </c>
      <c r="DQ61" s="1">
        <v>277.58</v>
      </c>
      <c r="DR61" s="1">
        <v>288.12</v>
      </c>
      <c r="DS61" s="1">
        <v>218.33</v>
      </c>
      <c r="DT61" s="1">
        <v>343.97</v>
      </c>
      <c r="DU61" s="1">
        <v>467.17</v>
      </c>
      <c r="DV61" s="1">
        <v>-19.86</v>
      </c>
      <c r="DW61" s="1">
        <v>-21.439999999999998</v>
      </c>
      <c r="DX61" s="1">
        <v>-19.7</v>
      </c>
      <c r="DY61" s="1">
        <v>-21.2</v>
      </c>
      <c r="DZ61" s="1">
        <v>-23.84</v>
      </c>
      <c r="EA61" s="1">
        <v>-22.66</v>
      </c>
      <c r="EB61" s="1">
        <v>-65.650000000000006</v>
      </c>
      <c r="EC61" s="1">
        <v>-115.12</v>
      </c>
      <c r="ED61" s="1">
        <v>-53.15</v>
      </c>
    </row>
    <row r="62" spans="1:134" x14ac:dyDescent="0.25">
      <c r="A62" t="s">
        <v>182</v>
      </c>
      <c r="B62" s="1">
        <v>0</v>
      </c>
      <c r="C62" s="1">
        <v>0</v>
      </c>
      <c r="D62" s="1">
        <v>0</v>
      </c>
      <c r="E62" s="1">
        <v>0</v>
      </c>
      <c r="F62" s="1">
        <v>0</v>
      </c>
      <c r="G62" s="1">
        <v>0.73</v>
      </c>
      <c r="H62" s="1">
        <v>0.74</v>
      </c>
      <c r="I62" s="1">
        <v>0</v>
      </c>
      <c r="J62" s="1">
        <v>0</v>
      </c>
      <c r="K62" s="1">
        <v>0</v>
      </c>
      <c r="L62" s="1">
        <v>0</v>
      </c>
      <c r="N62" t="s">
        <v>141</v>
      </c>
      <c r="O62" t="s">
        <v>140</v>
      </c>
      <c r="P62" t="s">
        <v>140</v>
      </c>
      <c r="Q62" t="s">
        <v>140</v>
      </c>
      <c r="R62" t="s">
        <v>140</v>
      </c>
      <c r="S62" t="s">
        <v>140</v>
      </c>
      <c r="T62" t="s">
        <v>140</v>
      </c>
      <c r="U62" t="s">
        <v>140</v>
      </c>
      <c r="V62" t="s">
        <v>140</v>
      </c>
      <c r="W62" t="s">
        <v>140</v>
      </c>
      <c r="X62" t="s">
        <v>140</v>
      </c>
      <c r="Y62" t="s">
        <v>140</v>
      </c>
      <c r="Z62" t="s">
        <v>140</v>
      </c>
      <c r="AA62" t="s">
        <v>140</v>
      </c>
      <c r="AB62" t="s">
        <v>140</v>
      </c>
      <c r="AC62" t="s">
        <v>140</v>
      </c>
      <c r="AD62" t="s">
        <v>140</v>
      </c>
      <c r="AE62" t="s">
        <v>140</v>
      </c>
      <c r="AF62" t="s">
        <v>140</v>
      </c>
      <c r="AG62" t="s">
        <v>140</v>
      </c>
      <c r="AH62" t="s">
        <v>140</v>
      </c>
      <c r="AI62" t="s">
        <v>140</v>
      </c>
      <c r="AJ62" t="s">
        <v>140</v>
      </c>
      <c r="AK62" t="s">
        <v>140</v>
      </c>
      <c r="AL62" t="s">
        <v>140</v>
      </c>
      <c r="AM62" t="s">
        <v>140</v>
      </c>
      <c r="AN62" t="s">
        <v>140</v>
      </c>
      <c r="AO62" t="s">
        <v>140</v>
      </c>
      <c r="AP62" t="s">
        <v>140</v>
      </c>
      <c r="AQ62" t="s">
        <v>140</v>
      </c>
      <c r="AR62" t="s">
        <v>140</v>
      </c>
      <c r="AS62" t="s">
        <v>140</v>
      </c>
      <c r="AT62" t="s">
        <v>140</v>
      </c>
      <c r="AU62" t="s">
        <v>140</v>
      </c>
      <c r="AV62" t="s">
        <v>140</v>
      </c>
      <c r="AW62" t="s">
        <v>140</v>
      </c>
      <c r="AX62" t="s">
        <v>140</v>
      </c>
      <c r="AY62" t="s">
        <v>140</v>
      </c>
      <c r="AZ62" t="s">
        <v>140</v>
      </c>
      <c r="BA62" t="s">
        <v>140</v>
      </c>
      <c r="BB62" t="s">
        <v>140</v>
      </c>
      <c r="BC62" t="s">
        <v>140</v>
      </c>
      <c r="BD62" t="s">
        <v>140</v>
      </c>
      <c r="BE62" t="s">
        <v>140</v>
      </c>
      <c r="BF62" t="s">
        <v>140</v>
      </c>
      <c r="BG62" t="s">
        <v>140</v>
      </c>
      <c r="BH62" t="s">
        <v>140</v>
      </c>
      <c r="BI62" t="s">
        <v>140</v>
      </c>
      <c r="BJ62" t="s">
        <v>140</v>
      </c>
      <c r="BK62" t="s">
        <v>140</v>
      </c>
      <c r="BL62" t="s">
        <v>140</v>
      </c>
      <c r="BM62" t="s">
        <v>140</v>
      </c>
      <c r="BN62" t="s">
        <v>140</v>
      </c>
      <c r="BO62" t="s">
        <v>140</v>
      </c>
      <c r="BP62" t="s">
        <v>140</v>
      </c>
      <c r="BQ62" t="s">
        <v>140</v>
      </c>
      <c r="BR62" t="s">
        <v>140</v>
      </c>
      <c r="BS62" t="s">
        <v>140</v>
      </c>
      <c r="BT62" t="s">
        <v>140</v>
      </c>
      <c r="BU62" t="s">
        <v>140</v>
      </c>
      <c r="BV62" t="s">
        <v>140</v>
      </c>
      <c r="BW62" t="s">
        <v>140</v>
      </c>
      <c r="BX62" t="s">
        <v>140</v>
      </c>
      <c r="BY62" t="s">
        <v>140</v>
      </c>
      <c r="BZ62" t="s">
        <v>140</v>
      </c>
      <c r="CA62" t="s">
        <v>140</v>
      </c>
      <c r="CB62" t="s">
        <v>140</v>
      </c>
      <c r="CC62" t="s">
        <v>140</v>
      </c>
      <c r="CD62" t="s">
        <v>140</v>
      </c>
      <c r="CE62" t="s">
        <v>140</v>
      </c>
      <c r="CF62" t="s">
        <v>140</v>
      </c>
      <c r="CG62" t="s">
        <v>140</v>
      </c>
      <c r="CH62" t="s">
        <v>140</v>
      </c>
      <c r="CI62" t="s">
        <v>140</v>
      </c>
      <c r="CJ62" t="s">
        <v>140</v>
      </c>
      <c r="CK62" t="s">
        <v>140</v>
      </c>
      <c r="CL62" t="s">
        <v>140</v>
      </c>
      <c r="CM62" t="s">
        <v>140</v>
      </c>
      <c r="CN62" t="s">
        <v>140</v>
      </c>
      <c r="CO62" t="s">
        <v>140</v>
      </c>
      <c r="CP62" t="s">
        <v>140</v>
      </c>
      <c r="CQ62" t="s">
        <v>140</v>
      </c>
      <c r="CR62" t="s">
        <v>140</v>
      </c>
      <c r="CS62" t="s">
        <v>140</v>
      </c>
      <c r="CT62" t="s">
        <v>140</v>
      </c>
      <c r="CU62" t="s">
        <v>140</v>
      </c>
      <c r="CV62" t="s">
        <v>140</v>
      </c>
      <c r="CW62" t="s">
        <v>140</v>
      </c>
      <c r="CX62" t="s">
        <v>140</v>
      </c>
      <c r="CY62" t="s">
        <v>140</v>
      </c>
      <c r="CZ62" t="s">
        <v>140</v>
      </c>
      <c r="DA62" t="s">
        <v>140</v>
      </c>
      <c r="DB62" t="s">
        <v>140</v>
      </c>
      <c r="DC62" s="1">
        <v>0</v>
      </c>
      <c r="DD62" s="1">
        <v>0</v>
      </c>
      <c r="DE62" s="1">
        <v>0</v>
      </c>
      <c r="DF62" s="1">
        <v>0</v>
      </c>
      <c r="DG62" s="1">
        <v>0</v>
      </c>
      <c r="DH62" s="1">
        <v>0</v>
      </c>
      <c r="DI62" s="1">
        <v>0</v>
      </c>
      <c r="DJ62" s="1">
        <v>0</v>
      </c>
      <c r="DK62" s="1">
        <v>0</v>
      </c>
      <c r="DL62" s="1">
        <v>0</v>
      </c>
      <c r="DM62" s="1">
        <v>0</v>
      </c>
      <c r="DN62" s="1">
        <v>0</v>
      </c>
      <c r="DO62" s="1">
        <v>0</v>
      </c>
      <c r="DP62" s="1">
        <v>0</v>
      </c>
      <c r="DQ62" s="1">
        <v>0.65</v>
      </c>
      <c r="DR62" s="1">
        <v>0.63</v>
      </c>
      <c r="DS62" s="1">
        <v>0.83</v>
      </c>
      <c r="DT62" s="1">
        <v>0.52</v>
      </c>
      <c r="DU62" s="1">
        <v>0.38</v>
      </c>
      <c r="DV62" s="1">
        <v>0</v>
      </c>
      <c r="DW62" s="1">
        <v>0</v>
      </c>
      <c r="DX62" s="1">
        <v>0</v>
      </c>
      <c r="DY62" s="1">
        <v>0</v>
      </c>
      <c r="DZ62" s="1">
        <v>0</v>
      </c>
      <c r="EA62" s="1">
        <v>0</v>
      </c>
      <c r="EB62" s="1">
        <v>0</v>
      </c>
      <c r="EC62" s="1">
        <v>0</v>
      </c>
      <c r="ED62" s="1">
        <v>0</v>
      </c>
    </row>
    <row r="63" spans="1:134" x14ac:dyDescent="0.25">
      <c r="A63" t="s">
        <v>183</v>
      </c>
      <c r="B63" s="1">
        <v>0.32</v>
      </c>
      <c r="C63" s="1">
        <v>0.28999999999999998</v>
      </c>
      <c r="D63" s="1">
        <v>0.28999999999999998</v>
      </c>
      <c r="E63" s="1">
        <v>0.27</v>
      </c>
      <c r="F63" s="1">
        <v>0.27</v>
      </c>
      <c r="G63" s="1">
        <v>0.25</v>
      </c>
      <c r="H63" s="1">
        <v>0.24</v>
      </c>
      <c r="I63" s="1">
        <v>0.24</v>
      </c>
      <c r="J63" s="1">
        <v>0.23</v>
      </c>
      <c r="K63" s="1">
        <v>0.23</v>
      </c>
      <c r="L63" s="1">
        <v>0.23</v>
      </c>
      <c r="M63" s="1">
        <v>0.23</v>
      </c>
      <c r="N63" t="s">
        <v>141</v>
      </c>
      <c r="O63" t="s">
        <v>140</v>
      </c>
      <c r="P63" t="s">
        <v>140</v>
      </c>
      <c r="Q63" t="s">
        <v>140</v>
      </c>
      <c r="R63" t="s">
        <v>140</v>
      </c>
      <c r="S63" t="s">
        <v>140</v>
      </c>
      <c r="T63" t="s">
        <v>140</v>
      </c>
      <c r="U63" t="s">
        <v>140</v>
      </c>
      <c r="V63" t="s">
        <v>140</v>
      </c>
      <c r="W63" t="s">
        <v>140</v>
      </c>
      <c r="X63" t="s">
        <v>140</v>
      </c>
      <c r="Y63" t="s">
        <v>140</v>
      </c>
      <c r="Z63" t="s">
        <v>140</v>
      </c>
      <c r="AA63" t="s">
        <v>140</v>
      </c>
      <c r="AB63" t="s">
        <v>140</v>
      </c>
      <c r="AC63" t="s">
        <v>140</v>
      </c>
      <c r="AD63" t="s">
        <v>140</v>
      </c>
      <c r="AE63" t="s">
        <v>140</v>
      </c>
      <c r="AF63" t="s">
        <v>140</v>
      </c>
      <c r="AG63" t="s">
        <v>140</v>
      </c>
      <c r="AH63" t="s">
        <v>140</v>
      </c>
      <c r="AI63" t="s">
        <v>140</v>
      </c>
      <c r="AJ63" t="s">
        <v>140</v>
      </c>
      <c r="AK63" t="s">
        <v>140</v>
      </c>
      <c r="AL63" t="s">
        <v>140</v>
      </c>
      <c r="AM63" t="s">
        <v>140</v>
      </c>
      <c r="AN63" t="s">
        <v>140</v>
      </c>
      <c r="AO63" t="s">
        <v>140</v>
      </c>
      <c r="AP63" t="s">
        <v>140</v>
      </c>
      <c r="AQ63" t="s">
        <v>140</v>
      </c>
      <c r="AR63" t="s">
        <v>140</v>
      </c>
      <c r="AS63" t="s">
        <v>140</v>
      </c>
      <c r="AT63" t="s">
        <v>140</v>
      </c>
      <c r="AU63" t="s">
        <v>140</v>
      </c>
      <c r="AV63" t="s">
        <v>140</v>
      </c>
      <c r="AW63" t="s">
        <v>140</v>
      </c>
      <c r="AX63" t="s">
        <v>140</v>
      </c>
      <c r="AY63" t="s">
        <v>140</v>
      </c>
      <c r="AZ63" t="s">
        <v>140</v>
      </c>
      <c r="BA63" t="s">
        <v>140</v>
      </c>
      <c r="BB63" t="s">
        <v>140</v>
      </c>
      <c r="BC63" t="s">
        <v>140</v>
      </c>
      <c r="BD63" t="s">
        <v>140</v>
      </c>
      <c r="BE63" t="s">
        <v>140</v>
      </c>
      <c r="BF63" t="s">
        <v>140</v>
      </c>
      <c r="BG63" t="s">
        <v>140</v>
      </c>
      <c r="BH63" t="s">
        <v>140</v>
      </c>
      <c r="BI63" t="s">
        <v>140</v>
      </c>
      <c r="BJ63" t="s">
        <v>140</v>
      </c>
      <c r="BK63" t="s">
        <v>140</v>
      </c>
      <c r="BL63" t="s">
        <v>140</v>
      </c>
      <c r="BM63" t="s">
        <v>140</v>
      </c>
      <c r="BN63" t="s">
        <v>140</v>
      </c>
      <c r="BO63" t="s">
        <v>140</v>
      </c>
      <c r="BP63" t="s">
        <v>140</v>
      </c>
      <c r="BQ63" t="s">
        <v>140</v>
      </c>
      <c r="BR63" t="s">
        <v>140</v>
      </c>
      <c r="BS63" t="s">
        <v>140</v>
      </c>
      <c r="BT63" t="s">
        <v>140</v>
      </c>
      <c r="BU63" t="s">
        <v>140</v>
      </c>
      <c r="BV63" t="s">
        <v>140</v>
      </c>
      <c r="BW63" t="s">
        <v>140</v>
      </c>
      <c r="BX63" t="s">
        <v>140</v>
      </c>
      <c r="BY63" t="s">
        <v>140</v>
      </c>
      <c r="BZ63" t="s">
        <v>140</v>
      </c>
      <c r="CA63" t="s">
        <v>140</v>
      </c>
      <c r="CB63" t="s">
        <v>140</v>
      </c>
      <c r="CC63" t="s">
        <v>140</v>
      </c>
      <c r="CD63" t="s">
        <v>140</v>
      </c>
      <c r="CE63" t="s">
        <v>140</v>
      </c>
      <c r="CF63" t="s">
        <v>140</v>
      </c>
      <c r="CG63" t="s">
        <v>140</v>
      </c>
      <c r="CH63" t="s">
        <v>140</v>
      </c>
      <c r="CI63" t="s">
        <v>140</v>
      </c>
      <c r="CJ63" t="s">
        <v>140</v>
      </c>
      <c r="CK63" t="s">
        <v>140</v>
      </c>
      <c r="CL63" t="s">
        <v>140</v>
      </c>
      <c r="CM63" t="s">
        <v>140</v>
      </c>
      <c r="CN63" t="s">
        <v>140</v>
      </c>
      <c r="CO63" t="s">
        <v>140</v>
      </c>
      <c r="CP63" t="s">
        <v>140</v>
      </c>
      <c r="CQ63" t="s">
        <v>140</v>
      </c>
      <c r="CR63" t="s">
        <v>140</v>
      </c>
      <c r="CS63" t="s">
        <v>140</v>
      </c>
      <c r="CT63" t="s">
        <v>140</v>
      </c>
      <c r="CU63" t="s">
        <v>140</v>
      </c>
      <c r="CV63" t="s">
        <v>140</v>
      </c>
      <c r="CW63" t="s">
        <v>140</v>
      </c>
      <c r="CX63" t="s">
        <v>140</v>
      </c>
      <c r="CY63" t="s">
        <v>140</v>
      </c>
      <c r="CZ63" t="s">
        <v>140</v>
      </c>
      <c r="DA63" t="s">
        <v>140</v>
      </c>
      <c r="DB63" t="s">
        <v>140</v>
      </c>
      <c r="DC63" s="1">
        <v>0</v>
      </c>
      <c r="DD63" s="1">
        <v>0</v>
      </c>
      <c r="DE63" s="1">
        <v>0</v>
      </c>
      <c r="DF63" s="1">
        <v>0</v>
      </c>
      <c r="DG63" s="1">
        <v>0.34</v>
      </c>
      <c r="DH63" s="1">
        <v>0.33</v>
      </c>
      <c r="DI63" s="1">
        <v>0.33</v>
      </c>
      <c r="DJ63" s="1">
        <v>0.31</v>
      </c>
      <c r="DK63" s="1">
        <v>0.28999999999999998</v>
      </c>
      <c r="DL63" s="1">
        <v>0.3</v>
      </c>
      <c r="DM63" s="1">
        <v>0.28999999999999998</v>
      </c>
      <c r="DN63" s="1">
        <v>0.28999999999999998</v>
      </c>
      <c r="DO63" s="1">
        <v>0.28000000000000003</v>
      </c>
      <c r="DP63" s="1">
        <v>0.27</v>
      </c>
      <c r="DQ63" s="1">
        <v>0.27</v>
      </c>
      <c r="DR63" s="1">
        <v>0.26</v>
      </c>
      <c r="DS63" s="1">
        <v>0.26</v>
      </c>
      <c r="DT63" s="1">
        <v>0.25</v>
      </c>
      <c r="DU63" s="1">
        <v>0.25</v>
      </c>
      <c r="DV63" s="1">
        <v>0.24</v>
      </c>
      <c r="DW63" s="1">
        <v>0.24</v>
      </c>
      <c r="DX63" s="1">
        <v>0.23</v>
      </c>
      <c r="DY63" s="1">
        <v>0.24</v>
      </c>
      <c r="DZ63" s="1">
        <v>0.23</v>
      </c>
      <c r="EA63" s="1">
        <v>0.24</v>
      </c>
      <c r="EB63" s="1">
        <v>0.23</v>
      </c>
      <c r="EC63" s="1">
        <v>0.23</v>
      </c>
      <c r="ED63" s="1">
        <v>0.24</v>
      </c>
    </row>
    <row r="64" spans="1:134" x14ac:dyDescent="0.25">
      <c r="A64" t="s">
        <v>184</v>
      </c>
      <c r="B64" s="1">
        <v>0</v>
      </c>
      <c r="C64" s="1">
        <v>0</v>
      </c>
      <c r="D64" s="1">
        <v>0</v>
      </c>
      <c r="E64" s="1">
        <v>0</v>
      </c>
      <c r="F64" s="1">
        <v>0</v>
      </c>
      <c r="G64" s="1">
        <v>0.35</v>
      </c>
      <c r="H64" s="1">
        <v>0.33100000000000002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t="s">
        <v>141</v>
      </c>
      <c r="O64" t="s">
        <v>140</v>
      </c>
      <c r="P64" t="s">
        <v>140</v>
      </c>
      <c r="Q64" t="s">
        <v>140</v>
      </c>
      <c r="R64" t="s">
        <v>140</v>
      </c>
      <c r="S64" t="s">
        <v>140</v>
      </c>
      <c r="T64" t="s">
        <v>140</v>
      </c>
      <c r="U64" t="s">
        <v>140</v>
      </c>
      <c r="V64" t="s">
        <v>140</v>
      </c>
      <c r="W64" t="s">
        <v>140</v>
      </c>
      <c r="X64" t="s">
        <v>140</v>
      </c>
      <c r="Y64" t="s">
        <v>140</v>
      </c>
      <c r="Z64" t="s">
        <v>140</v>
      </c>
      <c r="AA64" t="s">
        <v>140</v>
      </c>
      <c r="AB64" t="s">
        <v>140</v>
      </c>
      <c r="AC64" t="s">
        <v>140</v>
      </c>
      <c r="AD64" t="s">
        <v>140</v>
      </c>
      <c r="AE64" t="s">
        <v>140</v>
      </c>
      <c r="AF64" t="s">
        <v>140</v>
      </c>
      <c r="AG64" t="s">
        <v>140</v>
      </c>
      <c r="AH64" t="s">
        <v>140</v>
      </c>
      <c r="AI64" t="s">
        <v>140</v>
      </c>
      <c r="AJ64" t="s">
        <v>140</v>
      </c>
      <c r="AK64" t="s">
        <v>140</v>
      </c>
      <c r="AL64" t="s">
        <v>140</v>
      </c>
      <c r="AM64" t="s">
        <v>140</v>
      </c>
      <c r="AN64" t="s">
        <v>140</v>
      </c>
      <c r="AO64" t="s">
        <v>140</v>
      </c>
      <c r="AP64" t="s">
        <v>140</v>
      </c>
      <c r="AQ64" t="s">
        <v>140</v>
      </c>
      <c r="AR64" t="s">
        <v>140</v>
      </c>
      <c r="AS64" t="s">
        <v>140</v>
      </c>
      <c r="AT64" t="s">
        <v>140</v>
      </c>
      <c r="AU64" t="s">
        <v>140</v>
      </c>
      <c r="AV64" t="s">
        <v>140</v>
      </c>
      <c r="AW64" t="s">
        <v>140</v>
      </c>
      <c r="AX64" t="s">
        <v>140</v>
      </c>
      <c r="AY64" t="s">
        <v>140</v>
      </c>
      <c r="AZ64" t="s">
        <v>140</v>
      </c>
      <c r="BA64" t="s">
        <v>140</v>
      </c>
      <c r="BB64" t="s">
        <v>140</v>
      </c>
      <c r="BC64" t="s">
        <v>140</v>
      </c>
      <c r="BD64" t="s">
        <v>140</v>
      </c>
      <c r="BE64" t="s">
        <v>140</v>
      </c>
      <c r="BF64" t="s">
        <v>140</v>
      </c>
      <c r="BG64" t="s">
        <v>140</v>
      </c>
      <c r="BH64" t="s">
        <v>140</v>
      </c>
      <c r="BI64" t="s">
        <v>140</v>
      </c>
      <c r="BJ64" t="s">
        <v>140</v>
      </c>
      <c r="BK64" t="s">
        <v>140</v>
      </c>
      <c r="BL64" t="s">
        <v>140</v>
      </c>
      <c r="BM64" t="s">
        <v>140</v>
      </c>
      <c r="BN64" t="s">
        <v>140</v>
      </c>
      <c r="BO64" t="s">
        <v>140</v>
      </c>
      <c r="BP64" t="s">
        <v>140</v>
      </c>
      <c r="BQ64" t="s">
        <v>140</v>
      </c>
      <c r="BR64" t="s">
        <v>140</v>
      </c>
      <c r="BS64" t="s">
        <v>140</v>
      </c>
      <c r="BT64" t="s">
        <v>140</v>
      </c>
      <c r="BU64" t="s">
        <v>140</v>
      </c>
      <c r="BV64" t="s">
        <v>140</v>
      </c>
      <c r="BW64" t="s">
        <v>140</v>
      </c>
      <c r="BX64" t="s">
        <v>140</v>
      </c>
      <c r="BY64" t="s">
        <v>140</v>
      </c>
      <c r="BZ64" t="s">
        <v>140</v>
      </c>
      <c r="CA64" t="s">
        <v>140</v>
      </c>
      <c r="CB64" t="s">
        <v>140</v>
      </c>
      <c r="CC64" t="s">
        <v>140</v>
      </c>
      <c r="CD64" t="s">
        <v>140</v>
      </c>
      <c r="CE64" t="s">
        <v>140</v>
      </c>
      <c r="CF64" t="s">
        <v>140</v>
      </c>
      <c r="CG64" t="s">
        <v>140</v>
      </c>
      <c r="CH64" t="s">
        <v>140</v>
      </c>
      <c r="CI64" t="s">
        <v>140</v>
      </c>
      <c r="CJ64" t="s">
        <v>140</v>
      </c>
      <c r="CK64" t="s">
        <v>140</v>
      </c>
      <c r="CL64" t="s">
        <v>140</v>
      </c>
      <c r="CM64" t="s">
        <v>140</v>
      </c>
      <c r="CN64" t="s">
        <v>140</v>
      </c>
      <c r="CO64" t="s">
        <v>140</v>
      </c>
      <c r="CP64" t="s">
        <v>140</v>
      </c>
      <c r="CQ64" t="s">
        <v>140</v>
      </c>
      <c r="CR64" t="s">
        <v>140</v>
      </c>
      <c r="CS64" t="s">
        <v>140</v>
      </c>
      <c r="CT64" t="s">
        <v>140</v>
      </c>
      <c r="CU64" t="s">
        <v>140</v>
      </c>
      <c r="CV64" t="s">
        <v>140</v>
      </c>
      <c r="CW64" t="s">
        <v>140</v>
      </c>
      <c r="CX64" t="s">
        <v>140</v>
      </c>
      <c r="CY64" t="s">
        <v>140</v>
      </c>
      <c r="CZ64" t="s">
        <v>140</v>
      </c>
      <c r="DA64" t="s">
        <v>140</v>
      </c>
      <c r="DB64" t="s">
        <v>140</v>
      </c>
      <c r="DC64" s="1">
        <v>0</v>
      </c>
      <c r="DD64" s="1">
        <v>0</v>
      </c>
      <c r="DE64" s="1">
        <v>0</v>
      </c>
      <c r="DF64" s="1">
        <v>0</v>
      </c>
      <c r="DG64" s="1">
        <v>0</v>
      </c>
      <c r="DH64" s="1">
        <v>0</v>
      </c>
      <c r="DI64" s="1">
        <v>0</v>
      </c>
      <c r="DJ64" s="1">
        <v>0</v>
      </c>
      <c r="DK64" s="1">
        <v>0</v>
      </c>
      <c r="DL64" s="1">
        <v>0</v>
      </c>
      <c r="DM64" s="1">
        <v>0</v>
      </c>
      <c r="DN64" s="1">
        <v>0</v>
      </c>
      <c r="DO64" s="1">
        <v>0</v>
      </c>
      <c r="DP64" s="1">
        <v>0</v>
      </c>
      <c r="DQ64" s="1">
        <v>0.41899999999999998</v>
      </c>
      <c r="DR64" s="1">
        <v>0.41199999999999998</v>
      </c>
      <c r="DS64" s="1">
        <v>0.315</v>
      </c>
      <c r="DT64" s="1">
        <v>0.48</v>
      </c>
      <c r="DU64" s="1">
        <v>0.66400000000000003</v>
      </c>
      <c r="DV64" s="1">
        <v>0</v>
      </c>
      <c r="DW64" s="1">
        <v>0</v>
      </c>
      <c r="DX64" s="1">
        <v>0</v>
      </c>
      <c r="DY64" s="1">
        <v>0</v>
      </c>
      <c r="DZ64" s="1">
        <v>0</v>
      </c>
      <c r="EA64" s="1">
        <v>0</v>
      </c>
      <c r="EB64" s="1">
        <v>0</v>
      </c>
      <c r="EC64" s="1">
        <v>0</v>
      </c>
      <c r="ED64" s="1">
        <v>0</v>
      </c>
    </row>
    <row r="65" spans="1:134" x14ac:dyDescent="0.25">
      <c r="A65" t="s">
        <v>185</v>
      </c>
      <c r="B65" s="1">
        <v>3.0000000000000001E-3</v>
      </c>
      <c r="C65" s="1">
        <v>5.0000000000000001E-3</v>
      </c>
      <c r="D65" s="1">
        <v>4.0000000000000001E-3</v>
      </c>
      <c r="E65" s="1">
        <v>3.0000000000000001E-3</v>
      </c>
      <c r="F65" s="1">
        <v>3.0000000000000001E-3</v>
      </c>
      <c r="G65" s="1">
        <v>2E-3</v>
      </c>
      <c r="H65" s="1">
        <v>4.0000000000000001E-3</v>
      </c>
      <c r="I65" s="1">
        <v>4.0000000000000001E-3</v>
      </c>
      <c r="J65" s="1">
        <v>5.0000000000000001E-3</v>
      </c>
      <c r="K65" s="1">
        <v>5.3999999999999999E-2</v>
      </c>
      <c r="L65" s="1">
        <v>3.0000000000000001E-3</v>
      </c>
      <c r="M65" s="1">
        <v>3.0000000000000001E-3</v>
      </c>
      <c r="N65" t="s">
        <v>141</v>
      </c>
      <c r="O65" t="s">
        <v>140</v>
      </c>
      <c r="P65" t="s">
        <v>140</v>
      </c>
      <c r="Q65" t="s">
        <v>140</v>
      </c>
      <c r="R65" t="s">
        <v>140</v>
      </c>
      <c r="S65" t="s">
        <v>140</v>
      </c>
      <c r="T65" t="s">
        <v>140</v>
      </c>
      <c r="U65" t="s">
        <v>140</v>
      </c>
      <c r="V65" t="s">
        <v>140</v>
      </c>
      <c r="W65" t="s">
        <v>140</v>
      </c>
      <c r="X65" t="s">
        <v>140</v>
      </c>
      <c r="Y65" t="s">
        <v>140</v>
      </c>
      <c r="Z65" t="s">
        <v>140</v>
      </c>
      <c r="AA65" t="s">
        <v>140</v>
      </c>
      <c r="AB65" t="s">
        <v>140</v>
      </c>
      <c r="AC65" t="s">
        <v>140</v>
      </c>
      <c r="AD65" t="s">
        <v>140</v>
      </c>
      <c r="AE65" t="s">
        <v>140</v>
      </c>
      <c r="AF65" t="s">
        <v>140</v>
      </c>
      <c r="AG65" t="s">
        <v>140</v>
      </c>
      <c r="AH65" t="s">
        <v>140</v>
      </c>
      <c r="AI65" t="s">
        <v>140</v>
      </c>
      <c r="AJ65" t="s">
        <v>140</v>
      </c>
      <c r="AK65" t="s">
        <v>140</v>
      </c>
      <c r="AL65" t="s">
        <v>140</v>
      </c>
      <c r="AM65" t="s">
        <v>140</v>
      </c>
      <c r="AN65" t="s">
        <v>140</v>
      </c>
      <c r="AO65" t="s">
        <v>140</v>
      </c>
      <c r="AP65" t="s">
        <v>140</v>
      </c>
      <c r="AQ65" t="s">
        <v>140</v>
      </c>
      <c r="AR65" t="s">
        <v>140</v>
      </c>
      <c r="AS65" t="s">
        <v>140</v>
      </c>
      <c r="AT65" t="s">
        <v>140</v>
      </c>
      <c r="AU65" t="s">
        <v>140</v>
      </c>
      <c r="AV65" t="s">
        <v>140</v>
      </c>
      <c r="AW65" t="s">
        <v>140</v>
      </c>
      <c r="AX65" t="s">
        <v>140</v>
      </c>
      <c r="AY65" t="s">
        <v>140</v>
      </c>
      <c r="AZ65" t="s">
        <v>140</v>
      </c>
      <c r="BA65" t="s">
        <v>140</v>
      </c>
      <c r="BB65" t="s">
        <v>140</v>
      </c>
      <c r="BC65" t="s">
        <v>140</v>
      </c>
      <c r="BD65" t="s">
        <v>140</v>
      </c>
      <c r="BE65" t="s">
        <v>140</v>
      </c>
      <c r="BF65" t="s">
        <v>140</v>
      </c>
      <c r="BG65" t="s">
        <v>140</v>
      </c>
      <c r="BH65" t="s">
        <v>140</v>
      </c>
      <c r="BI65" t="s">
        <v>140</v>
      </c>
      <c r="BJ65" t="s">
        <v>140</v>
      </c>
      <c r="BK65" t="s">
        <v>140</v>
      </c>
      <c r="BL65" t="s">
        <v>140</v>
      </c>
      <c r="BM65" t="s">
        <v>140</v>
      </c>
      <c r="BN65" t="s">
        <v>140</v>
      </c>
      <c r="BO65" t="s">
        <v>140</v>
      </c>
      <c r="BP65" t="s">
        <v>140</v>
      </c>
      <c r="BQ65" t="s">
        <v>140</v>
      </c>
      <c r="BR65" t="s">
        <v>140</v>
      </c>
      <c r="BS65" t="s">
        <v>140</v>
      </c>
      <c r="BT65" t="s">
        <v>140</v>
      </c>
      <c r="BU65" t="s">
        <v>140</v>
      </c>
      <c r="BV65" t="s">
        <v>140</v>
      </c>
      <c r="BW65" t="s">
        <v>140</v>
      </c>
      <c r="BX65" t="s">
        <v>140</v>
      </c>
      <c r="BY65" t="s">
        <v>140</v>
      </c>
      <c r="BZ65" t="s">
        <v>140</v>
      </c>
      <c r="CA65" t="s">
        <v>140</v>
      </c>
      <c r="CB65" t="s">
        <v>140</v>
      </c>
      <c r="CC65" t="s">
        <v>140</v>
      </c>
      <c r="CD65" t="s">
        <v>140</v>
      </c>
      <c r="CE65" t="s">
        <v>140</v>
      </c>
      <c r="CF65" t="s">
        <v>140</v>
      </c>
      <c r="CG65" t="s">
        <v>140</v>
      </c>
      <c r="CH65" t="s">
        <v>140</v>
      </c>
      <c r="CI65" t="s">
        <v>140</v>
      </c>
      <c r="CJ65" t="s">
        <v>140</v>
      </c>
      <c r="CK65" t="s">
        <v>140</v>
      </c>
      <c r="CL65" t="s">
        <v>140</v>
      </c>
      <c r="CM65" t="s">
        <v>140</v>
      </c>
      <c r="CN65" t="s">
        <v>140</v>
      </c>
      <c r="CO65" t="s">
        <v>140</v>
      </c>
      <c r="CP65" t="s">
        <v>140</v>
      </c>
      <c r="CQ65" t="s">
        <v>140</v>
      </c>
      <c r="CR65" t="s">
        <v>140</v>
      </c>
      <c r="CS65" t="s">
        <v>140</v>
      </c>
      <c r="CT65" t="s">
        <v>140</v>
      </c>
      <c r="CU65" t="s">
        <v>140</v>
      </c>
      <c r="CV65" t="s">
        <v>140</v>
      </c>
      <c r="CW65" t="s">
        <v>140</v>
      </c>
      <c r="CX65" t="s">
        <v>140</v>
      </c>
      <c r="CY65" t="s">
        <v>140</v>
      </c>
      <c r="CZ65" t="s">
        <v>140</v>
      </c>
      <c r="DA65" t="s">
        <v>140</v>
      </c>
      <c r="DB65" t="s">
        <v>140</v>
      </c>
      <c r="DC65" s="1">
        <v>0</v>
      </c>
      <c r="DD65" s="1">
        <v>0</v>
      </c>
      <c r="DE65" s="1">
        <v>0</v>
      </c>
      <c r="DF65" s="1">
        <v>0</v>
      </c>
      <c r="DG65" s="1">
        <v>0.153</v>
      </c>
      <c r="DH65" s="1">
        <v>0.15</v>
      </c>
      <c r="DI65" s="1">
        <v>0.114</v>
      </c>
      <c r="DJ65" s="1">
        <v>-0.104</v>
      </c>
      <c r="DK65" s="1">
        <v>3.0000000000000001E-3</v>
      </c>
      <c r="DL65" s="1">
        <v>6.0000000000000001E-3</v>
      </c>
      <c r="DM65" s="1">
        <v>4.0000000000000001E-3</v>
      </c>
      <c r="DN65" s="1">
        <v>4.0000000000000001E-3</v>
      </c>
      <c r="DO65" s="1">
        <v>2E-3</v>
      </c>
      <c r="DP65" s="1">
        <v>3.0000000000000001E-3</v>
      </c>
      <c r="DQ65" s="1">
        <v>4.0000000000000001E-3</v>
      </c>
      <c r="DR65" s="1">
        <v>3.0000000000000001E-3</v>
      </c>
      <c r="DS65" s="1">
        <v>1E-3</v>
      </c>
      <c r="DT65" s="1">
        <v>3.0000000000000001E-3</v>
      </c>
      <c r="DU65" s="1">
        <v>4.0000000000000001E-3</v>
      </c>
      <c r="DV65" s="1">
        <v>4.0000000000000001E-3</v>
      </c>
      <c r="DW65" s="1">
        <v>3.0000000000000001E-3</v>
      </c>
      <c r="DX65" s="1">
        <v>4.0000000000000001E-3</v>
      </c>
      <c r="DY65" s="1">
        <v>3.0000000000000001E-3</v>
      </c>
      <c r="DZ65" s="1">
        <v>6.0000000000000001E-3</v>
      </c>
      <c r="EA65" s="1">
        <v>3.5999999999999997E-2</v>
      </c>
      <c r="EB65" s="1">
        <v>7.1999999999999995E-2</v>
      </c>
      <c r="EC65" s="1">
        <v>4.0000000000000001E-3</v>
      </c>
      <c r="ED65" s="1">
        <v>3.0000000000000001E-3</v>
      </c>
    </row>
    <row r="66" spans="1:134" ht="18.75" x14ac:dyDescent="0.3">
      <c r="A66" s="3" t="s">
        <v>404</v>
      </c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DC66" s="1"/>
      <c r="DD66" s="1"/>
      <c r="DE66" s="1"/>
      <c r="DF66" s="1"/>
      <c r="DG66" s="1"/>
      <c r="DH66" s="1"/>
      <c r="DI66" s="1"/>
      <c r="DJ66" s="1"/>
      <c r="DK66" s="1"/>
      <c r="DL66" s="1"/>
      <c r="DM66" s="1"/>
      <c r="DN66" s="1"/>
      <c r="DO66" s="1"/>
      <c r="DP66" s="1"/>
      <c r="DQ66" s="1"/>
      <c r="DR66" s="1"/>
      <c r="DS66" s="1"/>
      <c r="DT66" s="1"/>
      <c r="DU66" s="1"/>
      <c r="DV66" s="1"/>
      <c r="DW66" s="1"/>
      <c r="DX66" s="1"/>
      <c r="DY66" s="1"/>
      <c r="DZ66" s="1"/>
      <c r="EA66" s="1"/>
      <c r="EB66" s="1"/>
      <c r="EC66" s="1"/>
      <c r="ED66" s="1"/>
    </row>
    <row r="67" spans="1:134" x14ac:dyDescent="0.25">
      <c r="A67" t="s">
        <v>186</v>
      </c>
      <c r="B67" s="1">
        <v>5353</v>
      </c>
      <c r="C67" s="1">
        <v>5932</v>
      </c>
      <c r="D67" s="1">
        <v>6506</v>
      </c>
      <c r="E67" s="1">
        <v>7155</v>
      </c>
      <c r="F67" s="1">
        <v>7723</v>
      </c>
      <c r="G67" s="1">
        <v>8740</v>
      </c>
      <c r="H67" s="1">
        <v>9255</v>
      </c>
      <c r="I67" s="1">
        <v>10023</v>
      </c>
      <c r="J67" s="1">
        <v>10037</v>
      </c>
      <c r="K67" s="1">
        <v>10718</v>
      </c>
      <c r="L67" s="1">
        <v>10744</v>
      </c>
      <c r="M67" s="1">
        <v>10744</v>
      </c>
      <c r="N67" t="s">
        <v>141</v>
      </c>
      <c r="O67" t="s">
        <v>140</v>
      </c>
      <c r="P67" t="s">
        <v>140</v>
      </c>
      <c r="Q67" t="s">
        <v>140</v>
      </c>
      <c r="R67" t="s">
        <v>140</v>
      </c>
      <c r="S67" t="s">
        <v>140</v>
      </c>
      <c r="T67" t="s">
        <v>140</v>
      </c>
      <c r="U67" t="s">
        <v>140</v>
      </c>
      <c r="V67" t="s">
        <v>140</v>
      </c>
      <c r="W67" t="s">
        <v>140</v>
      </c>
      <c r="X67" t="s">
        <v>140</v>
      </c>
      <c r="Y67" t="s">
        <v>140</v>
      </c>
      <c r="Z67" t="s">
        <v>140</v>
      </c>
      <c r="AA67" t="s">
        <v>140</v>
      </c>
      <c r="AB67" t="s">
        <v>140</v>
      </c>
      <c r="AC67" t="s">
        <v>140</v>
      </c>
      <c r="AD67" t="s">
        <v>140</v>
      </c>
      <c r="AE67" t="s">
        <v>140</v>
      </c>
      <c r="AF67" t="s">
        <v>140</v>
      </c>
      <c r="AG67" t="s">
        <v>140</v>
      </c>
      <c r="AH67" t="s">
        <v>140</v>
      </c>
      <c r="AI67" t="s">
        <v>140</v>
      </c>
      <c r="AJ67" t="s">
        <v>140</v>
      </c>
      <c r="AK67" t="s">
        <v>140</v>
      </c>
      <c r="AL67" t="s">
        <v>140</v>
      </c>
      <c r="AM67" t="s">
        <v>140</v>
      </c>
      <c r="AN67" t="s">
        <v>140</v>
      </c>
      <c r="AO67" t="s">
        <v>140</v>
      </c>
      <c r="AP67" t="s">
        <v>140</v>
      </c>
      <c r="AQ67" t="s">
        <v>140</v>
      </c>
      <c r="AR67" t="s">
        <v>140</v>
      </c>
      <c r="AS67" t="s">
        <v>140</v>
      </c>
      <c r="AT67" t="s">
        <v>140</v>
      </c>
      <c r="AU67" t="s">
        <v>140</v>
      </c>
      <c r="AV67" t="s">
        <v>140</v>
      </c>
      <c r="AW67" t="s">
        <v>140</v>
      </c>
      <c r="AX67" t="s">
        <v>140</v>
      </c>
      <c r="AY67" t="s">
        <v>140</v>
      </c>
      <c r="AZ67" t="s">
        <v>140</v>
      </c>
      <c r="BA67" t="s">
        <v>140</v>
      </c>
      <c r="BB67" t="s">
        <v>140</v>
      </c>
      <c r="BC67" t="s">
        <v>140</v>
      </c>
      <c r="BD67" t="s">
        <v>140</v>
      </c>
      <c r="BE67" t="s">
        <v>140</v>
      </c>
      <c r="BF67" t="s">
        <v>140</v>
      </c>
      <c r="BG67" t="s">
        <v>140</v>
      </c>
      <c r="BH67" t="s">
        <v>140</v>
      </c>
      <c r="BI67" t="s">
        <v>140</v>
      </c>
      <c r="BJ67" t="s">
        <v>140</v>
      </c>
      <c r="BK67" t="s">
        <v>140</v>
      </c>
      <c r="BL67" t="s">
        <v>140</v>
      </c>
      <c r="BM67" t="s">
        <v>140</v>
      </c>
      <c r="BN67" t="s">
        <v>140</v>
      </c>
      <c r="BO67" t="s">
        <v>140</v>
      </c>
      <c r="BP67" t="s">
        <v>140</v>
      </c>
      <c r="BQ67" t="s">
        <v>140</v>
      </c>
      <c r="BR67" t="s">
        <v>140</v>
      </c>
      <c r="BS67" t="s">
        <v>140</v>
      </c>
      <c r="BT67" t="s">
        <v>140</v>
      </c>
      <c r="BU67" t="s">
        <v>140</v>
      </c>
      <c r="BV67" t="s">
        <v>140</v>
      </c>
      <c r="BW67" t="s">
        <v>140</v>
      </c>
      <c r="BX67" t="s">
        <v>140</v>
      </c>
      <c r="BY67" t="s">
        <v>140</v>
      </c>
      <c r="BZ67" t="s">
        <v>140</v>
      </c>
      <c r="CA67" t="s">
        <v>140</v>
      </c>
      <c r="CB67" t="s">
        <v>140</v>
      </c>
      <c r="CC67" t="s">
        <v>140</v>
      </c>
      <c r="CD67" t="s">
        <v>140</v>
      </c>
      <c r="CE67" t="s">
        <v>140</v>
      </c>
      <c r="CF67" t="s">
        <v>140</v>
      </c>
      <c r="CG67" t="s">
        <v>140</v>
      </c>
      <c r="CH67" t="s">
        <v>140</v>
      </c>
      <c r="CI67" t="s">
        <v>140</v>
      </c>
      <c r="CJ67" t="s">
        <v>140</v>
      </c>
      <c r="CK67" t="s">
        <v>140</v>
      </c>
      <c r="CL67" t="s">
        <v>140</v>
      </c>
      <c r="CM67" t="s">
        <v>140</v>
      </c>
      <c r="CN67" t="s">
        <v>140</v>
      </c>
      <c r="CO67" t="s">
        <v>140</v>
      </c>
      <c r="CP67" t="s">
        <v>140</v>
      </c>
      <c r="CQ67" t="s">
        <v>140</v>
      </c>
      <c r="CR67" t="s">
        <v>140</v>
      </c>
      <c r="CS67" t="s">
        <v>140</v>
      </c>
      <c r="CT67" t="s">
        <v>140</v>
      </c>
      <c r="CU67" t="s">
        <v>140</v>
      </c>
      <c r="CV67" t="s">
        <v>140</v>
      </c>
      <c r="CW67" t="s">
        <v>140</v>
      </c>
      <c r="CX67" t="s">
        <v>140</v>
      </c>
      <c r="CY67" t="s">
        <v>140</v>
      </c>
      <c r="CZ67" t="s">
        <v>140</v>
      </c>
      <c r="DA67" t="s">
        <v>140</v>
      </c>
      <c r="DB67" t="s">
        <v>140</v>
      </c>
      <c r="DC67" s="1">
        <v>0</v>
      </c>
      <c r="DD67" s="1">
        <v>0</v>
      </c>
      <c r="DE67" s="1">
        <v>0</v>
      </c>
      <c r="DF67" s="1">
        <v>0</v>
      </c>
      <c r="DG67" s="1">
        <v>2438</v>
      </c>
      <c r="DH67" s="1">
        <v>2552</v>
      </c>
      <c r="DI67" s="1">
        <v>2621</v>
      </c>
      <c r="DJ67" s="1">
        <v>2732</v>
      </c>
      <c r="DK67" s="1">
        <v>2887</v>
      </c>
      <c r="DL67" s="1">
        <v>3045</v>
      </c>
      <c r="DM67" s="1">
        <v>3197</v>
      </c>
      <c r="DN67" s="1">
        <v>3309</v>
      </c>
      <c r="DO67" s="1">
        <v>3493</v>
      </c>
      <c r="DP67" s="1">
        <v>3662</v>
      </c>
      <c r="DQ67" s="1">
        <v>3830</v>
      </c>
      <c r="DR67" s="1">
        <v>3893</v>
      </c>
      <c r="DS67" s="1">
        <v>4185</v>
      </c>
      <c r="DT67" s="1">
        <v>4555</v>
      </c>
      <c r="DU67" s="1">
        <v>4608</v>
      </c>
      <c r="DV67" s="1">
        <v>4647</v>
      </c>
      <c r="DW67" s="1">
        <v>4949</v>
      </c>
      <c r="DX67" s="1">
        <v>5074</v>
      </c>
      <c r="DY67" s="1">
        <v>4930</v>
      </c>
      <c r="DZ67" s="1">
        <v>5107</v>
      </c>
      <c r="EA67" s="1">
        <v>5332</v>
      </c>
      <c r="EB67" s="1">
        <v>5386</v>
      </c>
      <c r="EC67" s="1">
        <v>5233</v>
      </c>
      <c r="ED67" s="1">
        <v>5511</v>
      </c>
    </row>
    <row r="68" spans="1:134" x14ac:dyDescent="0.25">
      <c r="A68" t="s">
        <v>187</v>
      </c>
      <c r="B68" s="1">
        <v>1709</v>
      </c>
      <c r="C68" s="1">
        <v>1747</v>
      </c>
      <c r="D68" s="1">
        <v>1890</v>
      </c>
      <c r="E68" s="1">
        <v>1953</v>
      </c>
      <c r="F68" s="1">
        <v>2054</v>
      </c>
      <c r="G68" s="1">
        <v>2227</v>
      </c>
      <c r="H68" s="1">
        <v>2261</v>
      </c>
      <c r="I68" s="1">
        <v>2360</v>
      </c>
      <c r="J68" s="1">
        <v>2348</v>
      </c>
      <c r="K68" s="1">
        <v>2498</v>
      </c>
      <c r="L68" s="1">
        <v>2506</v>
      </c>
      <c r="M68" s="1">
        <v>2506</v>
      </c>
      <c r="N68" t="s">
        <v>141</v>
      </c>
      <c r="O68" t="s">
        <v>140</v>
      </c>
      <c r="P68" t="s">
        <v>140</v>
      </c>
      <c r="Q68" t="s">
        <v>140</v>
      </c>
      <c r="R68" t="s">
        <v>140</v>
      </c>
      <c r="S68" t="s">
        <v>140</v>
      </c>
      <c r="T68" t="s">
        <v>140</v>
      </c>
      <c r="U68" t="s">
        <v>140</v>
      </c>
      <c r="V68" t="s">
        <v>140</v>
      </c>
      <c r="W68" t="s">
        <v>140</v>
      </c>
      <c r="X68" t="s">
        <v>140</v>
      </c>
      <c r="Y68" t="s">
        <v>140</v>
      </c>
      <c r="Z68" t="s">
        <v>140</v>
      </c>
      <c r="AA68" t="s">
        <v>140</v>
      </c>
      <c r="AB68" t="s">
        <v>140</v>
      </c>
      <c r="AC68" t="s">
        <v>140</v>
      </c>
      <c r="AD68" t="s">
        <v>140</v>
      </c>
      <c r="AE68" t="s">
        <v>140</v>
      </c>
      <c r="AF68" t="s">
        <v>140</v>
      </c>
      <c r="AG68" t="s">
        <v>140</v>
      </c>
      <c r="AH68" t="s">
        <v>140</v>
      </c>
      <c r="AI68" t="s">
        <v>140</v>
      </c>
      <c r="AJ68" t="s">
        <v>140</v>
      </c>
      <c r="AK68" t="s">
        <v>140</v>
      </c>
      <c r="AL68" t="s">
        <v>140</v>
      </c>
      <c r="AM68" t="s">
        <v>140</v>
      </c>
      <c r="AN68" t="s">
        <v>140</v>
      </c>
      <c r="AO68" t="s">
        <v>140</v>
      </c>
      <c r="AP68" t="s">
        <v>140</v>
      </c>
      <c r="AQ68" t="s">
        <v>140</v>
      </c>
      <c r="AR68" t="s">
        <v>140</v>
      </c>
      <c r="AS68" t="s">
        <v>140</v>
      </c>
      <c r="AT68" t="s">
        <v>140</v>
      </c>
      <c r="AU68" t="s">
        <v>140</v>
      </c>
      <c r="AV68" t="s">
        <v>140</v>
      </c>
      <c r="AW68" t="s">
        <v>140</v>
      </c>
      <c r="AX68" t="s">
        <v>140</v>
      </c>
      <c r="AY68" t="s">
        <v>140</v>
      </c>
      <c r="AZ68" t="s">
        <v>140</v>
      </c>
      <c r="BA68" t="s">
        <v>140</v>
      </c>
      <c r="BB68" t="s">
        <v>140</v>
      </c>
      <c r="BC68" t="s">
        <v>140</v>
      </c>
      <c r="BD68" t="s">
        <v>140</v>
      </c>
      <c r="BE68" t="s">
        <v>140</v>
      </c>
      <c r="BF68" t="s">
        <v>140</v>
      </c>
      <c r="BG68" t="s">
        <v>140</v>
      </c>
      <c r="BH68" t="s">
        <v>140</v>
      </c>
      <c r="BI68" t="s">
        <v>140</v>
      </c>
      <c r="BJ68" t="s">
        <v>140</v>
      </c>
      <c r="BK68" t="s">
        <v>140</v>
      </c>
      <c r="BL68" t="s">
        <v>140</v>
      </c>
      <c r="BM68" t="s">
        <v>140</v>
      </c>
      <c r="BN68" t="s">
        <v>140</v>
      </c>
      <c r="BO68" t="s">
        <v>140</v>
      </c>
      <c r="BP68" t="s">
        <v>140</v>
      </c>
      <c r="BQ68" t="s">
        <v>140</v>
      </c>
      <c r="BR68" t="s">
        <v>140</v>
      </c>
      <c r="BS68" t="s">
        <v>140</v>
      </c>
      <c r="BT68" t="s">
        <v>140</v>
      </c>
      <c r="BU68" t="s">
        <v>140</v>
      </c>
      <c r="BV68" t="s">
        <v>140</v>
      </c>
      <c r="BW68" t="s">
        <v>140</v>
      </c>
      <c r="BX68" t="s">
        <v>140</v>
      </c>
      <c r="BY68" t="s">
        <v>140</v>
      </c>
      <c r="BZ68" t="s">
        <v>140</v>
      </c>
      <c r="CA68" t="s">
        <v>140</v>
      </c>
      <c r="CB68" t="s">
        <v>140</v>
      </c>
      <c r="CC68" t="s">
        <v>140</v>
      </c>
      <c r="CD68" t="s">
        <v>140</v>
      </c>
      <c r="CE68" t="s">
        <v>140</v>
      </c>
      <c r="CF68" t="s">
        <v>140</v>
      </c>
      <c r="CG68" t="s">
        <v>140</v>
      </c>
      <c r="CH68" t="s">
        <v>140</v>
      </c>
      <c r="CI68" t="s">
        <v>140</v>
      </c>
      <c r="CJ68" t="s">
        <v>140</v>
      </c>
      <c r="CK68" t="s">
        <v>140</v>
      </c>
      <c r="CL68" t="s">
        <v>140</v>
      </c>
      <c r="CM68" t="s">
        <v>140</v>
      </c>
      <c r="CN68" t="s">
        <v>140</v>
      </c>
      <c r="CO68" t="s">
        <v>140</v>
      </c>
      <c r="CP68" t="s">
        <v>140</v>
      </c>
      <c r="CQ68" t="s">
        <v>140</v>
      </c>
      <c r="CR68" t="s">
        <v>140</v>
      </c>
      <c r="CS68" t="s">
        <v>140</v>
      </c>
      <c r="CT68" t="s">
        <v>140</v>
      </c>
      <c r="CU68" t="s">
        <v>140</v>
      </c>
      <c r="CV68" t="s">
        <v>140</v>
      </c>
      <c r="CW68" t="s">
        <v>140</v>
      </c>
      <c r="CX68" t="s">
        <v>140</v>
      </c>
      <c r="CY68" t="s">
        <v>140</v>
      </c>
      <c r="CZ68" t="s">
        <v>140</v>
      </c>
      <c r="DA68" t="s">
        <v>140</v>
      </c>
      <c r="DB68" t="s">
        <v>140</v>
      </c>
      <c r="DC68" s="1">
        <v>0</v>
      </c>
      <c r="DD68" s="1">
        <v>0</v>
      </c>
      <c r="DE68" s="1">
        <v>0</v>
      </c>
      <c r="DF68" s="1">
        <v>0</v>
      </c>
      <c r="DG68" s="1">
        <v>821</v>
      </c>
      <c r="DH68" s="1">
        <v>841</v>
      </c>
      <c r="DI68" s="1">
        <v>856</v>
      </c>
      <c r="DJ68" s="1">
        <v>853</v>
      </c>
      <c r="DK68" s="1">
        <v>846</v>
      </c>
      <c r="DL68" s="1">
        <v>901</v>
      </c>
      <c r="DM68" s="1">
        <v>941</v>
      </c>
      <c r="DN68" s="1">
        <v>949</v>
      </c>
      <c r="DO68" s="1">
        <v>976</v>
      </c>
      <c r="DP68" s="1">
        <v>977</v>
      </c>
      <c r="DQ68" s="1">
        <v>1047</v>
      </c>
      <c r="DR68" s="1">
        <v>1007</v>
      </c>
      <c r="DS68" s="1">
        <v>1089</v>
      </c>
      <c r="DT68" s="1">
        <v>1138</v>
      </c>
      <c r="DU68" s="1">
        <v>1168</v>
      </c>
      <c r="DV68" s="1">
        <v>1093</v>
      </c>
      <c r="DW68" s="1">
        <v>1182</v>
      </c>
      <c r="DX68" s="1">
        <v>1178</v>
      </c>
      <c r="DY68" s="1">
        <v>1171</v>
      </c>
      <c r="DZ68" s="1">
        <v>1177</v>
      </c>
      <c r="EA68" s="1">
        <v>1261</v>
      </c>
      <c r="EB68" s="1">
        <v>1237</v>
      </c>
      <c r="EC68" s="1">
        <v>1196</v>
      </c>
      <c r="ED68" s="1">
        <v>1310</v>
      </c>
    </row>
    <row r="69" spans="1:134" x14ac:dyDescent="0.25">
      <c r="A69" t="s">
        <v>188</v>
      </c>
      <c r="B69" s="1">
        <v>3644</v>
      </c>
      <c r="C69" s="1">
        <v>4185</v>
      </c>
      <c r="D69" s="1">
        <v>4616</v>
      </c>
      <c r="E69" s="1">
        <v>5202</v>
      </c>
      <c r="F69" s="1">
        <v>5669</v>
      </c>
      <c r="G69" s="1">
        <v>6513</v>
      </c>
      <c r="H69" s="1">
        <v>6994</v>
      </c>
      <c r="I69" s="1">
        <v>7663</v>
      </c>
      <c r="J69" s="1">
        <v>7689</v>
      </c>
      <c r="K69" s="1">
        <v>8220</v>
      </c>
      <c r="L69" s="1">
        <v>8238</v>
      </c>
      <c r="M69" s="1">
        <v>8238</v>
      </c>
      <c r="N69" t="s">
        <v>141</v>
      </c>
      <c r="O69" t="s">
        <v>140</v>
      </c>
      <c r="P69" t="s">
        <v>140</v>
      </c>
      <c r="Q69" t="s">
        <v>140</v>
      </c>
      <c r="R69" t="s">
        <v>140</v>
      </c>
      <c r="S69" t="s">
        <v>140</v>
      </c>
      <c r="T69" t="s">
        <v>140</v>
      </c>
      <c r="U69" t="s">
        <v>140</v>
      </c>
      <c r="V69" t="s">
        <v>140</v>
      </c>
      <c r="W69" t="s">
        <v>140</v>
      </c>
      <c r="X69" t="s">
        <v>140</v>
      </c>
      <c r="Y69" t="s">
        <v>140</v>
      </c>
      <c r="Z69" t="s">
        <v>140</v>
      </c>
      <c r="AA69" t="s">
        <v>140</v>
      </c>
      <c r="AB69" t="s">
        <v>140</v>
      </c>
      <c r="AC69" t="s">
        <v>140</v>
      </c>
      <c r="AD69" t="s">
        <v>140</v>
      </c>
      <c r="AE69" t="s">
        <v>140</v>
      </c>
      <c r="AF69" t="s">
        <v>140</v>
      </c>
      <c r="AG69" t="s">
        <v>140</v>
      </c>
      <c r="AH69" t="s">
        <v>140</v>
      </c>
      <c r="AI69" t="s">
        <v>140</v>
      </c>
      <c r="AJ69" t="s">
        <v>140</v>
      </c>
      <c r="AK69" t="s">
        <v>140</v>
      </c>
      <c r="AL69" t="s">
        <v>140</v>
      </c>
      <c r="AM69" t="s">
        <v>140</v>
      </c>
      <c r="AN69" t="s">
        <v>140</v>
      </c>
      <c r="AO69" t="s">
        <v>140</v>
      </c>
      <c r="AP69" t="s">
        <v>140</v>
      </c>
      <c r="AQ69" t="s">
        <v>140</v>
      </c>
      <c r="AR69" t="s">
        <v>140</v>
      </c>
      <c r="AS69" t="s">
        <v>140</v>
      </c>
      <c r="AT69" t="s">
        <v>140</v>
      </c>
      <c r="AU69" t="s">
        <v>140</v>
      </c>
      <c r="AV69" t="s">
        <v>140</v>
      </c>
      <c r="AW69" t="s">
        <v>140</v>
      </c>
      <c r="AX69" t="s">
        <v>140</v>
      </c>
      <c r="AY69" t="s">
        <v>140</v>
      </c>
      <c r="AZ69" t="s">
        <v>140</v>
      </c>
      <c r="BA69" t="s">
        <v>140</v>
      </c>
      <c r="BB69" t="s">
        <v>140</v>
      </c>
      <c r="BC69" t="s">
        <v>140</v>
      </c>
      <c r="BD69" t="s">
        <v>140</v>
      </c>
      <c r="BE69" t="s">
        <v>140</v>
      </c>
      <c r="BF69" t="s">
        <v>140</v>
      </c>
      <c r="BG69" t="s">
        <v>140</v>
      </c>
      <c r="BH69" t="s">
        <v>140</v>
      </c>
      <c r="BI69" t="s">
        <v>140</v>
      </c>
      <c r="BJ69" t="s">
        <v>140</v>
      </c>
      <c r="BK69" t="s">
        <v>140</v>
      </c>
      <c r="BL69" t="s">
        <v>140</v>
      </c>
      <c r="BM69" t="s">
        <v>140</v>
      </c>
      <c r="BN69" t="s">
        <v>140</v>
      </c>
      <c r="BO69" t="s">
        <v>140</v>
      </c>
      <c r="BP69" t="s">
        <v>140</v>
      </c>
      <c r="BQ69" t="s">
        <v>140</v>
      </c>
      <c r="BR69" t="s">
        <v>140</v>
      </c>
      <c r="BS69" t="s">
        <v>140</v>
      </c>
      <c r="BT69" t="s">
        <v>140</v>
      </c>
      <c r="BU69" t="s">
        <v>140</v>
      </c>
      <c r="BV69" t="s">
        <v>140</v>
      </c>
      <c r="BW69" t="s">
        <v>140</v>
      </c>
      <c r="BX69" t="s">
        <v>140</v>
      </c>
      <c r="BY69" t="s">
        <v>140</v>
      </c>
      <c r="BZ69" t="s">
        <v>140</v>
      </c>
      <c r="CA69" t="s">
        <v>140</v>
      </c>
      <c r="CB69" t="s">
        <v>140</v>
      </c>
      <c r="CC69" t="s">
        <v>140</v>
      </c>
      <c r="CD69" t="s">
        <v>140</v>
      </c>
      <c r="CE69" t="s">
        <v>140</v>
      </c>
      <c r="CF69" t="s">
        <v>140</v>
      </c>
      <c r="CG69" t="s">
        <v>140</v>
      </c>
      <c r="CH69" t="s">
        <v>140</v>
      </c>
      <c r="CI69" t="s">
        <v>140</v>
      </c>
      <c r="CJ69" t="s">
        <v>140</v>
      </c>
      <c r="CK69" t="s">
        <v>140</v>
      </c>
      <c r="CL69" t="s">
        <v>140</v>
      </c>
      <c r="CM69" t="s">
        <v>140</v>
      </c>
      <c r="CN69" t="s">
        <v>140</v>
      </c>
      <c r="CO69" t="s">
        <v>140</v>
      </c>
      <c r="CP69" t="s">
        <v>140</v>
      </c>
      <c r="CQ69" t="s">
        <v>140</v>
      </c>
      <c r="CR69" t="s">
        <v>140</v>
      </c>
      <c r="CS69" t="s">
        <v>140</v>
      </c>
      <c r="CT69" t="s">
        <v>140</v>
      </c>
      <c r="CU69" t="s">
        <v>140</v>
      </c>
      <c r="CV69" t="s">
        <v>140</v>
      </c>
      <c r="CW69" t="s">
        <v>140</v>
      </c>
      <c r="CX69" t="s">
        <v>140</v>
      </c>
      <c r="CY69" t="s">
        <v>140</v>
      </c>
      <c r="CZ69" t="s">
        <v>140</v>
      </c>
      <c r="DA69" t="s">
        <v>140</v>
      </c>
      <c r="DB69" t="s">
        <v>140</v>
      </c>
      <c r="DC69" s="1">
        <v>0</v>
      </c>
      <c r="DD69" s="1">
        <v>0</v>
      </c>
      <c r="DE69" s="1">
        <v>0</v>
      </c>
      <c r="DF69" s="1">
        <v>0</v>
      </c>
      <c r="DG69" s="1">
        <v>1617</v>
      </c>
      <c r="DH69" s="1">
        <v>1711</v>
      </c>
      <c r="DI69" s="1">
        <v>1765</v>
      </c>
      <c r="DJ69" s="1">
        <v>1879</v>
      </c>
      <c r="DK69" s="1">
        <v>2041</v>
      </c>
      <c r="DL69" s="1">
        <v>2144</v>
      </c>
      <c r="DM69" s="1">
        <v>2256</v>
      </c>
      <c r="DN69" s="1">
        <v>2360</v>
      </c>
      <c r="DO69" s="1">
        <v>2517</v>
      </c>
      <c r="DP69" s="1">
        <v>2685</v>
      </c>
      <c r="DQ69" s="1">
        <v>2783</v>
      </c>
      <c r="DR69" s="1">
        <v>2886</v>
      </c>
      <c r="DS69" s="1">
        <v>3096</v>
      </c>
      <c r="DT69" s="1">
        <v>3417</v>
      </c>
      <c r="DU69" s="1">
        <v>3440</v>
      </c>
      <c r="DV69" s="1">
        <v>3554</v>
      </c>
      <c r="DW69" s="1">
        <v>3767</v>
      </c>
      <c r="DX69" s="1">
        <v>3896</v>
      </c>
      <c r="DY69" s="1">
        <v>3759</v>
      </c>
      <c r="DZ69" s="1">
        <v>3930</v>
      </c>
      <c r="EA69" s="1">
        <v>4071</v>
      </c>
      <c r="EB69" s="1">
        <v>4149</v>
      </c>
      <c r="EC69" s="1">
        <v>4037</v>
      </c>
      <c r="ED69" s="1">
        <v>4201</v>
      </c>
    </row>
    <row r="70" spans="1:134" x14ac:dyDescent="0.25">
      <c r="A70" t="s">
        <v>189</v>
      </c>
      <c r="B70" s="1">
        <v>176</v>
      </c>
      <c r="C70" s="1">
        <v>269</v>
      </c>
      <c r="D70" s="1">
        <v>223</v>
      </c>
      <c r="E70" s="1">
        <v>222</v>
      </c>
      <c r="F70" s="1">
        <v>437</v>
      </c>
      <c r="G70" s="1">
        <v>368</v>
      </c>
      <c r="H70" s="1">
        <v>342</v>
      </c>
      <c r="I70" s="1">
        <v>417</v>
      </c>
      <c r="J70" s="1">
        <v>405</v>
      </c>
      <c r="K70" s="1">
        <v>416</v>
      </c>
      <c r="L70" s="1">
        <v>428</v>
      </c>
      <c r="M70" s="1">
        <v>428</v>
      </c>
      <c r="N70" t="s">
        <v>141</v>
      </c>
      <c r="O70" t="s">
        <v>140</v>
      </c>
      <c r="P70" t="s">
        <v>140</v>
      </c>
      <c r="Q70" t="s">
        <v>140</v>
      </c>
      <c r="R70" t="s">
        <v>140</v>
      </c>
      <c r="S70" t="s">
        <v>140</v>
      </c>
      <c r="T70" t="s">
        <v>140</v>
      </c>
      <c r="U70" t="s">
        <v>140</v>
      </c>
      <c r="V70" t="s">
        <v>140</v>
      </c>
      <c r="W70" t="s">
        <v>140</v>
      </c>
      <c r="X70" t="s">
        <v>140</v>
      </c>
      <c r="Y70" t="s">
        <v>140</v>
      </c>
      <c r="Z70" t="s">
        <v>140</v>
      </c>
      <c r="AA70" t="s">
        <v>140</v>
      </c>
      <c r="AB70" t="s">
        <v>140</v>
      </c>
      <c r="AC70" t="s">
        <v>140</v>
      </c>
      <c r="AD70" t="s">
        <v>140</v>
      </c>
      <c r="AE70" t="s">
        <v>140</v>
      </c>
      <c r="AF70" t="s">
        <v>140</v>
      </c>
      <c r="AG70" t="s">
        <v>140</v>
      </c>
      <c r="AH70" t="s">
        <v>140</v>
      </c>
      <c r="AI70" t="s">
        <v>140</v>
      </c>
      <c r="AJ70" t="s">
        <v>140</v>
      </c>
      <c r="AK70" t="s">
        <v>140</v>
      </c>
      <c r="AL70" t="s">
        <v>140</v>
      </c>
      <c r="AM70" t="s">
        <v>140</v>
      </c>
      <c r="AN70" t="s">
        <v>140</v>
      </c>
      <c r="AO70" t="s">
        <v>140</v>
      </c>
      <c r="AP70" t="s">
        <v>140</v>
      </c>
      <c r="AQ70" t="s">
        <v>140</v>
      </c>
      <c r="AR70" t="s">
        <v>140</v>
      </c>
      <c r="AS70" t="s">
        <v>140</v>
      </c>
      <c r="AT70" t="s">
        <v>140</v>
      </c>
      <c r="AU70" t="s">
        <v>140</v>
      </c>
      <c r="AV70" t="s">
        <v>140</v>
      </c>
      <c r="AW70" t="s">
        <v>140</v>
      </c>
      <c r="AX70" t="s">
        <v>140</v>
      </c>
      <c r="AY70" t="s">
        <v>140</v>
      </c>
      <c r="AZ70" t="s">
        <v>140</v>
      </c>
      <c r="BA70" t="s">
        <v>140</v>
      </c>
      <c r="BB70" t="s">
        <v>140</v>
      </c>
      <c r="BC70" t="s">
        <v>140</v>
      </c>
      <c r="BD70" t="s">
        <v>140</v>
      </c>
      <c r="BE70" t="s">
        <v>140</v>
      </c>
      <c r="BF70" t="s">
        <v>140</v>
      </c>
      <c r="BG70" t="s">
        <v>140</v>
      </c>
      <c r="BH70" t="s">
        <v>140</v>
      </c>
      <c r="BI70" t="s">
        <v>140</v>
      </c>
      <c r="BJ70" t="s">
        <v>140</v>
      </c>
      <c r="BK70" t="s">
        <v>140</v>
      </c>
      <c r="BL70" t="s">
        <v>140</v>
      </c>
      <c r="BM70" t="s">
        <v>140</v>
      </c>
      <c r="BN70" t="s">
        <v>140</v>
      </c>
      <c r="BO70" t="s">
        <v>140</v>
      </c>
      <c r="BP70" t="s">
        <v>140</v>
      </c>
      <c r="BQ70" t="s">
        <v>140</v>
      </c>
      <c r="BR70" t="s">
        <v>140</v>
      </c>
      <c r="BS70" t="s">
        <v>140</v>
      </c>
      <c r="BT70" t="s">
        <v>140</v>
      </c>
      <c r="BU70" t="s">
        <v>140</v>
      </c>
      <c r="BV70" t="s">
        <v>140</v>
      </c>
      <c r="BW70" t="s">
        <v>140</v>
      </c>
      <c r="BX70" t="s">
        <v>140</v>
      </c>
      <c r="BY70" t="s">
        <v>140</v>
      </c>
      <c r="BZ70" t="s">
        <v>140</v>
      </c>
      <c r="CA70" t="s">
        <v>140</v>
      </c>
      <c r="CB70" t="s">
        <v>140</v>
      </c>
      <c r="CC70" t="s">
        <v>140</v>
      </c>
      <c r="CD70" t="s">
        <v>140</v>
      </c>
      <c r="CE70" t="s">
        <v>140</v>
      </c>
      <c r="CF70" t="s">
        <v>140</v>
      </c>
      <c r="CG70" t="s">
        <v>140</v>
      </c>
      <c r="CH70" t="s">
        <v>140</v>
      </c>
      <c r="CI70" t="s">
        <v>140</v>
      </c>
      <c r="CJ70" t="s">
        <v>140</v>
      </c>
      <c r="CK70" t="s">
        <v>140</v>
      </c>
      <c r="CL70" t="s">
        <v>140</v>
      </c>
      <c r="CM70" t="s">
        <v>140</v>
      </c>
      <c r="CN70" t="s">
        <v>140</v>
      </c>
      <c r="CO70" t="s">
        <v>140</v>
      </c>
      <c r="CP70" t="s">
        <v>140</v>
      </c>
      <c r="CQ70" t="s">
        <v>140</v>
      </c>
      <c r="CR70" t="s">
        <v>140</v>
      </c>
      <c r="CS70" t="s">
        <v>140</v>
      </c>
      <c r="CT70" t="s">
        <v>140</v>
      </c>
      <c r="CU70" t="s">
        <v>140</v>
      </c>
      <c r="CV70" t="s">
        <v>140</v>
      </c>
      <c r="CW70" t="s">
        <v>140</v>
      </c>
      <c r="CX70" t="s">
        <v>140</v>
      </c>
      <c r="CY70" t="s">
        <v>140</v>
      </c>
      <c r="CZ70" t="s">
        <v>140</v>
      </c>
      <c r="DA70" t="s">
        <v>140</v>
      </c>
      <c r="DB70" t="s">
        <v>140</v>
      </c>
      <c r="DC70" s="1">
        <v>0</v>
      </c>
      <c r="DD70" s="1">
        <v>0</v>
      </c>
      <c r="DE70" s="1">
        <v>0</v>
      </c>
      <c r="DF70" s="1">
        <v>0</v>
      </c>
      <c r="DG70" s="1">
        <v>50</v>
      </c>
      <c r="DH70" s="1">
        <v>70</v>
      </c>
      <c r="DI70" s="1">
        <v>80</v>
      </c>
      <c r="DJ70" s="1">
        <v>96</v>
      </c>
      <c r="DK70" s="1">
        <v>147</v>
      </c>
      <c r="DL70" s="1">
        <v>122</v>
      </c>
      <c r="DM70" s="1">
        <v>104</v>
      </c>
      <c r="DN70" s="1">
        <v>119</v>
      </c>
      <c r="DO70" s="1">
        <v>106</v>
      </c>
      <c r="DP70" s="1">
        <v>116</v>
      </c>
      <c r="DQ70" s="1">
        <v>286</v>
      </c>
      <c r="DR70" s="1">
        <v>151</v>
      </c>
      <c r="DS70" s="1">
        <v>163</v>
      </c>
      <c r="DT70" s="1">
        <v>205</v>
      </c>
      <c r="DU70" s="1">
        <v>157</v>
      </c>
      <c r="DV70" s="1">
        <v>185</v>
      </c>
      <c r="DW70" s="1">
        <v>185</v>
      </c>
      <c r="DX70" s="1">
        <v>232</v>
      </c>
      <c r="DY70" s="1">
        <v>151</v>
      </c>
      <c r="DZ70" s="1">
        <v>254</v>
      </c>
      <c r="EA70" s="1">
        <v>201</v>
      </c>
      <c r="EB70" s="1">
        <v>215</v>
      </c>
      <c r="EC70" s="1">
        <v>220</v>
      </c>
      <c r="ED70" s="1">
        <v>208</v>
      </c>
    </row>
    <row r="71" spans="1:134" x14ac:dyDescent="0.25">
      <c r="A71" t="s">
        <v>190</v>
      </c>
      <c r="B71" s="1">
        <v>0</v>
      </c>
      <c r="C71" s="1">
        <v>0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t="s">
        <v>141</v>
      </c>
      <c r="O71" t="s">
        <v>140</v>
      </c>
      <c r="P71" t="s">
        <v>140</v>
      </c>
      <c r="Q71" t="s">
        <v>140</v>
      </c>
      <c r="R71" t="s">
        <v>140</v>
      </c>
      <c r="S71" t="s">
        <v>140</v>
      </c>
      <c r="T71" t="s">
        <v>140</v>
      </c>
      <c r="U71" t="s">
        <v>140</v>
      </c>
      <c r="V71" t="s">
        <v>140</v>
      </c>
      <c r="W71" t="s">
        <v>140</v>
      </c>
      <c r="X71" t="s">
        <v>140</v>
      </c>
      <c r="Y71" t="s">
        <v>140</v>
      </c>
      <c r="Z71" t="s">
        <v>140</v>
      </c>
      <c r="AA71" t="s">
        <v>140</v>
      </c>
      <c r="AB71" t="s">
        <v>140</v>
      </c>
      <c r="AC71" t="s">
        <v>140</v>
      </c>
      <c r="AD71" t="s">
        <v>140</v>
      </c>
      <c r="AE71" t="s">
        <v>140</v>
      </c>
      <c r="AF71" t="s">
        <v>140</v>
      </c>
      <c r="AG71" t="s">
        <v>140</v>
      </c>
      <c r="AH71" t="s">
        <v>140</v>
      </c>
      <c r="AI71" t="s">
        <v>140</v>
      </c>
      <c r="AJ71" t="s">
        <v>140</v>
      </c>
      <c r="AK71" t="s">
        <v>140</v>
      </c>
      <c r="AL71" t="s">
        <v>140</v>
      </c>
      <c r="AM71" t="s">
        <v>140</v>
      </c>
      <c r="AN71" t="s">
        <v>140</v>
      </c>
      <c r="AO71" t="s">
        <v>140</v>
      </c>
      <c r="AP71" t="s">
        <v>140</v>
      </c>
      <c r="AQ71" t="s">
        <v>140</v>
      </c>
      <c r="AR71" t="s">
        <v>140</v>
      </c>
      <c r="AS71" t="s">
        <v>140</v>
      </c>
      <c r="AT71" t="s">
        <v>140</v>
      </c>
      <c r="AU71" t="s">
        <v>140</v>
      </c>
      <c r="AV71" t="s">
        <v>140</v>
      </c>
      <c r="AW71" t="s">
        <v>140</v>
      </c>
      <c r="AX71" t="s">
        <v>140</v>
      </c>
      <c r="AY71" t="s">
        <v>140</v>
      </c>
      <c r="AZ71" t="s">
        <v>140</v>
      </c>
      <c r="BA71" t="s">
        <v>140</v>
      </c>
      <c r="BB71" t="s">
        <v>140</v>
      </c>
      <c r="BC71" t="s">
        <v>140</v>
      </c>
      <c r="BD71" t="s">
        <v>140</v>
      </c>
      <c r="BE71" t="s">
        <v>140</v>
      </c>
      <c r="BF71" t="s">
        <v>140</v>
      </c>
      <c r="BG71" t="s">
        <v>140</v>
      </c>
      <c r="BH71" t="s">
        <v>140</v>
      </c>
      <c r="BI71" t="s">
        <v>140</v>
      </c>
      <c r="BJ71" t="s">
        <v>140</v>
      </c>
      <c r="BK71" t="s">
        <v>140</v>
      </c>
      <c r="BL71" t="s">
        <v>140</v>
      </c>
      <c r="BM71" t="s">
        <v>140</v>
      </c>
      <c r="BN71" t="s">
        <v>140</v>
      </c>
      <c r="BO71" t="s">
        <v>140</v>
      </c>
      <c r="BP71" t="s">
        <v>140</v>
      </c>
      <c r="BQ71" t="s">
        <v>140</v>
      </c>
      <c r="BR71" t="s">
        <v>140</v>
      </c>
      <c r="BS71" t="s">
        <v>140</v>
      </c>
      <c r="BT71" t="s">
        <v>140</v>
      </c>
      <c r="BU71" t="s">
        <v>140</v>
      </c>
      <c r="BV71" t="s">
        <v>140</v>
      </c>
      <c r="BW71" t="s">
        <v>140</v>
      </c>
      <c r="BX71" t="s">
        <v>140</v>
      </c>
      <c r="BY71" t="s">
        <v>140</v>
      </c>
      <c r="BZ71" t="s">
        <v>140</v>
      </c>
      <c r="CA71" t="s">
        <v>140</v>
      </c>
      <c r="CB71" t="s">
        <v>140</v>
      </c>
      <c r="CC71" t="s">
        <v>140</v>
      </c>
      <c r="CD71" t="s">
        <v>140</v>
      </c>
      <c r="CE71" t="s">
        <v>140</v>
      </c>
      <c r="CF71" t="s">
        <v>140</v>
      </c>
      <c r="CG71" t="s">
        <v>140</v>
      </c>
      <c r="CH71" t="s">
        <v>140</v>
      </c>
      <c r="CI71" t="s">
        <v>140</v>
      </c>
      <c r="CJ71" t="s">
        <v>140</v>
      </c>
      <c r="CK71" t="s">
        <v>140</v>
      </c>
      <c r="CL71" t="s">
        <v>140</v>
      </c>
      <c r="CM71" t="s">
        <v>140</v>
      </c>
      <c r="CN71" t="s">
        <v>140</v>
      </c>
      <c r="CO71" t="s">
        <v>140</v>
      </c>
      <c r="CP71" t="s">
        <v>140</v>
      </c>
      <c r="CQ71" t="s">
        <v>140</v>
      </c>
      <c r="CR71" t="s">
        <v>140</v>
      </c>
      <c r="CS71" t="s">
        <v>140</v>
      </c>
      <c r="CT71" t="s">
        <v>140</v>
      </c>
      <c r="CU71" t="s">
        <v>140</v>
      </c>
      <c r="CV71" t="s">
        <v>140</v>
      </c>
      <c r="CW71" t="s">
        <v>140</v>
      </c>
      <c r="CX71" t="s">
        <v>140</v>
      </c>
      <c r="CY71" t="s">
        <v>140</v>
      </c>
      <c r="CZ71" t="s">
        <v>140</v>
      </c>
      <c r="DA71" t="s">
        <v>140</v>
      </c>
      <c r="DB71" t="s">
        <v>140</v>
      </c>
      <c r="DC71" s="1">
        <v>0</v>
      </c>
      <c r="DD71" s="1">
        <v>0</v>
      </c>
      <c r="DE71" s="1">
        <v>0</v>
      </c>
      <c r="DF71" s="1">
        <v>0</v>
      </c>
      <c r="DG71" s="1">
        <v>0</v>
      </c>
      <c r="DH71" s="1">
        <v>0</v>
      </c>
      <c r="DI71" s="1">
        <v>0</v>
      </c>
      <c r="DJ71" s="1">
        <v>0</v>
      </c>
      <c r="DK71" s="1">
        <v>0</v>
      </c>
      <c r="DL71" s="1">
        <v>0</v>
      </c>
      <c r="DM71" s="1">
        <v>0</v>
      </c>
      <c r="DN71" s="1">
        <v>0</v>
      </c>
      <c r="DO71" s="1">
        <v>0</v>
      </c>
      <c r="DP71" s="1">
        <v>0</v>
      </c>
      <c r="DQ71" s="1">
        <v>0</v>
      </c>
      <c r="DR71" s="1">
        <v>0</v>
      </c>
      <c r="DS71" s="1">
        <v>0</v>
      </c>
      <c r="DT71" s="1">
        <v>0</v>
      </c>
      <c r="DU71" s="1">
        <v>0</v>
      </c>
      <c r="DV71" s="1">
        <v>0</v>
      </c>
      <c r="DW71" s="1">
        <v>0</v>
      </c>
      <c r="DX71" s="1">
        <v>0</v>
      </c>
      <c r="DY71" s="1">
        <v>0</v>
      </c>
      <c r="DZ71" s="1">
        <v>0</v>
      </c>
      <c r="EA71" s="1">
        <v>0</v>
      </c>
      <c r="EB71" s="1">
        <v>0</v>
      </c>
      <c r="EC71" s="1">
        <v>0</v>
      </c>
      <c r="ED71" s="1">
        <v>0</v>
      </c>
    </row>
    <row r="72" spans="1:134" x14ac:dyDescent="0.25">
      <c r="A72" t="s">
        <v>191</v>
      </c>
      <c r="B72" s="1">
        <v>0</v>
      </c>
      <c r="C72" s="1">
        <v>0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t="s">
        <v>141</v>
      </c>
      <c r="O72" t="s">
        <v>140</v>
      </c>
      <c r="P72" t="s">
        <v>140</v>
      </c>
      <c r="Q72" t="s">
        <v>140</v>
      </c>
      <c r="R72" t="s">
        <v>140</v>
      </c>
      <c r="S72" t="s">
        <v>140</v>
      </c>
      <c r="T72" t="s">
        <v>140</v>
      </c>
      <c r="U72" t="s">
        <v>140</v>
      </c>
      <c r="V72" t="s">
        <v>140</v>
      </c>
      <c r="W72" t="s">
        <v>140</v>
      </c>
      <c r="X72" t="s">
        <v>140</v>
      </c>
      <c r="Y72" t="s">
        <v>140</v>
      </c>
      <c r="Z72" t="s">
        <v>140</v>
      </c>
      <c r="AA72" t="s">
        <v>140</v>
      </c>
      <c r="AB72" t="s">
        <v>140</v>
      </c>
      <c r="AC72" t="s">
        <v>140</v>
      </c>
      <c r="AD72" t="s">
        <v>140</v>
      </c>
      <c r="AE72" t="s">
        <v>140</v>
      </c>
      <c r="AF72" t="s">
        <v>140</v>
      </c>
      <c r="AG72" t="s">
        <v>140</v>
      </c>
      <c r="AH72" t="s">
        <v>140</v>
      </c>
      <c r="AI72" t="s">
        <v>140</v>
      </c>
      <c r="AJ72" t="s">
        <v>140</v>
      </c>
      <c r="AK72" t="s">
        <v>140</v>
      </c>
      <c r="AL72" t="s">
        <v>140</v>
      </c>
      <c r="AM72" t="s">
        <v>140</v>
      </c>
      <c r="AN72" t="s">
        <v>140</v>
      </c>
      <c r="AO72" t="s">
        <v>140</v>
      </c>
      <c r="AP72" t="s">
        <v>140</v>
      </c>
      <c r="AQ72" t="s">
        <v>140</v>
      </c>
      <c r="AR72" t="s">
        <v>140</v>
      </c>
      <c r="AS72" t="s">
        <v>140</v>
      </c>
      <c r="AT72" t="s">
        <v>140</v>
      </c>
      <c r="AU72" t="s">
        <v>140</v>
      </c>
      <c r="AV72" t="s">
        <v>140</v>
      </c>
      <c r="AW72" t="s">
        <v>140</v>
      </c>
      <c r="AX72" t="s">
        <v>140</v>
      </c>
      <c r="AY72" t="s">
        <v>140</v>
      </c>
      <c r="AZ72" t="s">
        <v>140</v>
      </c>
      <c r="BA72" t="s">
        <v>140</v>
      </c>
      <c r="BB72" t="s">
        <v>140</v>
      </c>
      <c r="BC72" t="s">
        <v>140</v>
      </c>
      <c r="BD72" t="s">
        <v>140</v>
      </c>
      <c r="BE72" t="s">
        <v>140</v>
      </c>
      <c r="BF72" t="s">
        <v>140</v>
      </c>
      <c r="BG72" t="s">
        <v>140</v>
      </c>
      <c r="BH72" t="s">
        <v>140</v>
      </c>
      <c r="BI72" t="s">
        <v>140</v>
      </c>
      <c r="BJ72" t="s">
        <v>140</v>
      </c>
      <c r="BK72" t="s">
        <v>140</v>
      </c>
      <c r="BL72" t="s">
        <v>140</v>
      </c>
      <c r="BM72" t="s">
        <v>140</v>
      </c>
      <c r="BN72" t="s">
        <v>140</v>
      </c>
      <c r="BO72" t="s">
        <v>140</v>
      </c>
      <c r="BP72" t="s">
        <v>140</v>
      </c>
      <c r="BQ72" t="s">
        <v>140</v>
      </c>
      <c r="BR72" t="s">
        <v>140</v>
      </c>
      <c r="BS72" t="s">
        <v>140</v>
      </c>
      <c r="BT72" t="s">
        <v>140</v>
      </c>
      <c r="BU72" t="s">
        <v>140</v>
      </c>
      <c r="BV72" t="s">
        <v>140</v>
      </c>
      <c r="BW72" t="s">
        <v>140</v>
      </c>
      <c r="BX72" t="s">
        <v>140</v>
      </c>
      <c r="BY72" t="s">
        <v>140</v>
      </c>
      <c r="BZ72" t="s">
        <v>140</v>
      </c>
      <c r="CA72" t="s">
        <v>140</v>
      </c>
      <c r="CB72" t="s">
        <v>140</v>
      </c>
      <c r="CC72" t="s">
        <v>140</v>
      </c>
      <c r="CD72" t="s">
        <v>140</v>
      </c>
      <c r="CE72" t="s">
        <v>140</v>
      </c>
      <c r="CF72" t="s">
        <v>140</v>
      </c>
      <c r="CG72" t="s">
        <v>140</v>
      </c>
      <c r="CH72" t="s">
        <v>140</v>
      </c>
      <c r="CI72" t="s">
        <v>140</v>
      </c>
      <c r="CJ72" t="s">
        <v>140</v>
      </c>
      <c r="CK72" t="s">
        <v>140</v>
      </c>
      <c r="CL72" t="s">
        <v>140</v>
      </c>
      <c r="CM72" t="s">
        <v>140</v>
      </c>
      <c r="CN72" t="s">
        <v>140</v>
      </c>
      <c r="CO72" t="s">
        <v>140</v>
      </c>
      <c r="CP72" t="s">
        <v>140</v>
      </c>
      <c r="CQ72" t="s">
        <v>140</v>
      </c>
      <c r="CR72" t="s">
        <v>140</v>
      </c>
      <c r="CS72" t="s">
        <v>140</v>
      </c>
      <c r="CT72" t="s">
        <v>140</v>
      </c>
      <c r="CU72" t="s">
        <v>140</v>
      </c>
      <c r="CV72" t="s">
        <v>140</v>
      </c>
      <c r="CW72" t="s">
        <v>140</v>
      </c>
      <c r="CX72" t="s">
        <v>140</v>
      </c>
      <c r="CY72" t="s">
        <v>140</v>
      </c>
      <c r="CZ72" t="s">
        <v>140</v>
      </c>
      <c r="DA72" t="s">
        <v>140</v>
      </c>
      <c r="DB72" t="s">
        <v>140</v>
      </c>
      <c r="DC72" s="1">
        <v>0</v>
      </c>
      <c r="DD72" s="1">
        <v>0</v>
      </c>
      <c r="DE72" s="1">
        <v>0</v>
      </c>
      <c r="DF72" s="1">
        <v>0</v>
      </c>
      <c r="DG72" s="1">
        <v>-3946</v>
      </c>
      <c r="DH72" s="1">
        <v>-5863</v>
      </c>
      <c r="DI72" s="1">
        <v>-3259</v>
      </c>
      <c r="DJ72" s="1">
        <v>3259</v>
      </c>
      <c r="DK72" s="1">
        <v>0</v>
      </c>
      <c r="DL72" s="1">
        <v>0</v>
      </c>
      <c r="DM72" s="1">
        <v>0</v>
      </c>
      <c r="DN72" s="1">
        <v>0</v>
      </c>
      <c r="DO72" s="1">
        <v>0</v>
      </c>
      <c r="DP72" s="1">
        <v>0</v>
      </c>
      <c r="DQ72" s="1">
        <v>0</v>
      </c>
      <c r="DR72" s="1">
        <v>0</v>
      </c>
      <c r="DS72" s="1">
        <v>0</v>
      </c>
      <c r="DT72" s="1">
        <v>0</v>
      </c>
      <c r="DU72" s="1">
        <v>0</v>
      </c>
      <c r="DV72" s="1">
        <v>0</v>
      </c>
      <c r="DW72" s="1">
        <v>0</v>
      </c>
      <c r="DX72" s="1">
        <v>0</v>
      </c>
      <c r="DY72" s="1">
        <v>0</v>
      </c>
      <c r="DZ72" s="1">
        <v>0</v>
      </c>
      <c r="EA72" s="1">
        <v>0</v>
      </c>
      <c r="EB72" s="1">
        <v>0</v>
      </c>
      <c r="EC72" s="1">
        <v>0</v>
      </c>
      <c r="ED72" s="1">
        <v>0</v>
      </c>
    </row>
    <row r="73" spans="1:134" x14ac:dyDescent="0.25">
      <c r="A73" t="s">
        <v>192</v>
      </c>
      <c r="B73" s="1">
        <v>176</v>
      </c>
      <c r="C73" s="1">
        <v>269</v>
      </c>
      <c r="D73" s="1">
        <v>223</v>
      </c>
      <c r="E73" s="1">
        <v>222</v>
      </c>
      <c r="F73" s="1">
        <v>437</v>
      </c>
      <c r="G73" s="1">
        <v>368</v>
      </c>
      <c r="H73" s="1">
        <v>342</v>
      </c>
      <c r="I73" s="1">
        <v>417</v>
      </c>
      <c r="J73" s="1">
        <v>405</v>
      </c>
      <c r="K73" s="1">
        <v>416</v>
      </c>
      <c r="L73" s="1">
        <v>428</v>
      </c>
      <c r="M73" s="1">
        <v>428</v>
      </c>
      <c r="N73" t="s">
        <v>141</v>
      </c>
      <c r="O73" t="s">
        <v>140</v>
      </c>
      <c r="P73" t="s">
        <v>140</v>
      </c>
      <c r="Q73" t="s">
        <v>140</v>
      </c>
      <c r="R73" t="s">
        <v>140</v>
      </c>
      <c r="S73" t="s">
        <v>140</v>
      </c>
      <c r="T73" t="s">
        <v>140</v>
      </c>
      <c r="U73" t="s">
        <v>140</v>
      </c>
      <c r="V73" t="s">
        <v>140</v>
      </c>
      <c r="W73" t="s">
        <v>140</v>
      </c>
      <c r="X73" t="s">
        <v>140</v>
      </c>
      <c r="Y73" t="s">
        <v>140</v>
      </c>
      <c r="Z73" t="s">
        <v>140</v>
      </c>
      <c r="AA73" t="s">
        <v>140</v>
      </c>
      <c r="AB73" t="s">
        <v>140</v>
      </c>
      <c r="AC73" t="s">
        <v>140</v>
      </c>
      <c r="AD73" t="s">
        <v>140</v>
      </c>
      <c r="AE73" t="s">
        <v>140</v>
      </c>
      <c r="AF73" t="s">
        <v>140</v>
      </c>
      <c r="AG73" t="s">
        <v>140</v>
      </c>
      <c r="AH73" t="s">
        <v>140</v>
      </c>
      <c r="AI73" t="s">
        <v>140</v>
      </c>
      <c r="AJ73" t="s">
        <v>140</v>
      </c>
      <c r="AK73" t="s">
        <v>140</v>
      </c>
      <c r="AL73" t="s">
        <v>140</v>
      </c>
      <c r="AM73" t="s">
        <v>140</v>
      </c>
      <c r="AN73" t="s">
        <v>140</v>
      </c>
      <c r="AO73" t="s">
        <v>140</v>
      </c>
      <c r="AP73" t="s">
        <v>140</v>
      </c>
      <c r="AQ73" t="s">
        <v>140</v>
      </c>
      <c r="AR73" t="s">
        <v>140</v>
      </c>
      <c r="AS73" t="s">
        <v>140</v>
      </c>
      <c r="AT73" t="s">
        <v>140</v>
      </c>
      <c r="AU73" t="s">
        <v>140</v>
      </c>
      <c r="AV73" t="s">
        <v>140</v>
      </c>
      <c r="AW73" t="s">
        <v>140</v>
      </c>
      <c r="AX73" t="s">
        <v>140</v>
      </c>
      <c r="AY73" t="s">
        <v>140</v>
      </c>
      <c r="AZ73" t="s">
        <v>140</v>
      </c>
      <c r="BA73" t="s">
        <v>140</v>
      </c>
      <c r="BB73" t="s">
        <v>140</v>
      </c>
      <c r="BC73" t="s">
        <v>140</v>
      </c>
      <c r="BD73" t="s">
        <v>140</v>
      </c>
      <c r="BE73" t="s">
        <v>140</v>
      </c>
      <c r="BF73" t="s">
        <v>140</v>
      </c>
      <c r="BG73" t="s">
        <v>140</v>
      </c>
      <c r="BH73" t="s">
        <v>140</v>
      </c>
      <c r="BI73" t="s">
        <v>140</v>
      </c>
      <c r="BJ73" t="s">
        <v>140</v>
      </c>
      <c r="BK73" t="s">
        <v>140</v>
      </c>
      <c r="BL73" t="s">
        <v>140</v>
      </c>
      <c r="BM73" t="s">
        <v>140</v>
      </c>
      <c r="BN73" t="s">
        <v>140</v>
      </c>
      <c r="BO73" t="s">
        <v>140</v>
      </c>
      <c r="BP73" t="s">
        <v>140</v>
      </c>
      <c r="BQ73" t="s">
        <v>140</v>
      </c>
      <c r="BR73" t="s">
        <v>140</v>
      </c>
      <c r="BS73" t="s">
        <v>140</v>
      </c>
      <c r="BT73" t="s">
        <v>140</v>
      </c>
      <c r="BU73" t="s">
        <v>140</v>
      </c>
      <c r="BV73" t="s">
        <v>140</v>
      </c>
      <c r="BW73" t="s">
        <v>140</v>
      </c>
      <c r="BX73" t="s">
        <v>140</v>
      </c>
      <c r="BY73" t="s">
        <v>140</v>
      </c>
      <c r="BZ73" t="s">
        <v>140</v>
      </c>
      <c r="CA73" t="s">
        <v>140</v>
      </c>
      <c r="CB73" t="s">
        <v>140</v>
      </c>
      <c r="CC73" t="s">
        <v>140</v>
      </c>
      <c r="CD73" t="s">
        <v>140</v>
      </c>
      <c r="CE73" t="s">
        <v>140</v>
      </c>
      <c r="CF73" t="s">
        <v>140</v>
      </c>
      <c r="CG73" t="s">
        <v>140</v>
      </c>
      <c r="CH73" t="s">
        <v>140</v>
      </c>
      <c r="CI73" t="s">
        <v>140</v>
      </c>
      <c r="CJ73" t="s">
        <v>140</v>
      </c>
      <c r="CK73" t="s">
        <v>140</v>
      </c>
      <c r="CL73" t="s">
        <v>140</v>
      </c>
      <c r="CM73" t="s">
        <v>140</v>
      </c>
      <c r="CN73" t="s">
        <v>140</v>
      </c>
      <c r="CO73" t="s">
        <v>140</v>
      </c>
      <c r="CP73" t="s">
        <v>140</v>
      </c>
      <c r="CQ73" t="s">
        <v>140</v>
      </c>
      <c r="CR73" t="s">
        <v>140</v>
      </c>
      <c r="CS73" t="s">
        <v>140</v>
      </c>
      <c r="CT73" t="s">
        <v>140</v>
      </c>
      <c r="CU73" t="s">
        <v>140</v>
      </c>
      <c r="CV73" t="s">
        <v>140</v>
      </c>
      <c r="CW73" t="s">
        <v>140</v>
      </c>
      <c r="CX73" t="s">
        <v>140</v>
      </c>
      <c r="CY73" t="s">
        <v>140</v>
      </c>
      <c r="CZ73" t="s">
        <v>140</v>
      </c>
      <c r="DA73" t="s">
        <v>140</v>
      </c>
      <c r="DB73" t="s">
        <v>140</v>
      </c>
      <c r="DC73" s="1">
        <v>0</v>
      </c>
      <c r="DD73" s="1">
        <v>0</v>
      </c>
      <c r="DE73" s="1">
        <v>0</v>
      </c>
      <c r="DF73" s="1">
        <v>0</v>
      </c>
      <c r="DG73" s="1">
        <v>-3896</v>
      </c>
      <c r="DH73" s="1">
        <v>-5793</v>
      </c>
      <c r="DI73" s="1">
        <v>-3179</v>
      </c>
      <c r="DJ73" s="1">
        <v>3355</v>
      </c>
      <c r="DK73" s="1">
        <v>147</v>
      </c>
      <c r="DL73" s="1">
        <v>122</v>
      </c>
      <c r="DM73" s="1">
        <v>104</v>
      </c>
      <c r="DN73" s="1">
        <v>119</v>
      </c>
      <c r="DO73" s="1">
        <v>106</v>
      </c>
      <c r="DP73" s="1">
        <v>116</v>
      </c>
      <c r="DQ73" s="1">
        <v>286</v>
      </c>
      <c r="DR73" s="1">
        <v>151</v>
      </c>
      <c r="DS73" s="1">
        <v>163</v>
      </c>
      <c r="DT73" s="1">
        <v>205</v>
      </c>
      <c r="DU73" s="1">
        <v>157</v>
      </c>
      <c r="DV73" s="1">
        <v>185</v>
      </c>
      <c r="DW73" s="1">
        <v>185</v>
      </c>
      <c r="DX73" s="1">
        <v>232</v>
      </c>
      <c r="DY73" s="1">
        <v>151</v>
      </c>
      <c r="DZ73" s="1">
        <v>254</v>
      </c>
      <c r="EA73" s="1">
        <v>201</v>
      </c>
      <c r="EB73" s="1">
        <v>215</v>
      </c>
      <c r="EC73" s="1">
        <v>220</v>
      </c>
      <c r="ED73" s="1">
        <v>208</v>
      </c>
    </row>
    <row r="74" spans="1:134" x14ac:dyDescent="0.25">
      <c r="A74" t="s">
        <v>193</v>
      </c>
      <c r="B74" s="1">
        <v>3468</v>
      </c>
      <c r="C74" s="1">
        <v>3916</v>
      </c>
      <c r="D74" s="1">
        <v>4393</v>
      </c>
      <c r="E74" s="1">
        <v>4980</v>
      </c>
      <c r="F74" s="1">
        <v>5232</v>
      </c>
      <c r="G74" s="1">
        <v>6145</v>
      </c>
      <c r="H74" s="1">
        <v>6652</v>
      </c>
      <c r="I74" s="1">
        <v>7246</v>
      </c>
      <c r="J74" s="1">
        <v>7284</v>
      </c>
      <c r="K74" s="1">
        <v>7804</v>
      </c>
      <c r="L74" s="1">
        <v>7810</v>
      </c>
      <c r="M74" s="1">
        <v>7810</v>
      </c>
      <c r="N74" t="s">
        <v>141</v>
      </c>
      <c r="O74" t="s">
        <v>140</v>
      </c>
      <c r="P74" t="s">
        <v>140</v>
      </c>
      <c r="Q74" t="s">
        <v>140</v>
      </c>
      <c r="R74" t="s">
        <v>140</v>
      </c>
      <c r="S74" t="s">
        <v>140</v>
      </c>
      <c r="T74" t="s">
        <v>140</v>
      </c>
      <c r="U74" t="s">
        <v>140</v>
      </c>
      <c r="V74" t="s">
        <v>140</v>
      </c>
      <c r="W74" t="s">
        <v>140</v>
      </c>
      <c r="X74" t="s">
        <v>140</v>
      </c>
      <c r="Y74" t="s">
        <v>140</v>
      </c>
      <c r="Z74" t="s">
        <v>140</v>
      </c>
      <c r="AA74" t="s">
        <v>140</v>
      </c>
      <c r="AB74" t="s">
        <v>140</v>
      </c>
      <c r="AC74" t="s">
        <v>140</v>
      </c>
      <c r="AD74" t="s">
        <v>140</v>
      </c>
      <c r="AE74" t="s">
        <v>140</v>
      </c>
      <c r="AF74" t="s">
        <v>140</v>
      </c>
      <c r="AG74" t="s">
        <v>140</v>
      </c>
      <c r="AH74" t="s">
        <v>140</v>
      </c>
      <c r="AI74" t="s">
        <v>140</v>
      </c>
      <c r="AJ74" t="s">
        <v>140</v>
      </c>
      <c r="AK74" t="s">
        <v>140</v>
      </c>
      <c r="AL74" t="s">
        <v>140</v>
      </c>
      <c r="AM74" t="s">
        <v>140</v>
      </c>
      <c r="AN74" t="s">
        <v>140</v>
      </c>
      <c r="AO74" t="s">
        <v>140</v>
      </c>
      <c r="AP74" t="s">
        <v>140</v>
      </c>
      <c r="AQ74" t="s">
        <v>140</v>
      </c>
      <c r="AR74" t="s">
        <v>140</v>
      </c>
      <c r="AS74" t="s">
        <v>140</v>
      </c>
      <c r="AT74" t="s">
        <v>140</v>
      </c>
      <c r="AU74" t="s">
        <v>140</v>
      </c>
      <c r="AV74" t="s">
        <v>140</v>
      </c>
      <c r="AW74" t="s">
        <v>140</v>
      </c>
      <c r="AX74" t="s">
        <v>140</v>
      </c>
      <c r="AY74" t="s">
        <v>140</v>
      </c>
      <c r="AZ74" t="s">
        <v>140</v>
      </c>
      <c r="BA74" t="s">
        <v>140</v>
      </c>
      <c r="BB74" t="s">
        <v>140</v>
      </c>
      <c r="BC74" t="s">
        <v>140</v>
      </c>
      <c r="BD74" t="s">
        <v>140</v>
      </c>
      <c r="BE74" t="s">
        <v>140</v>
      </c>
      <c r="BF74" t="s">
        <v>140</v>
      </c>
      <c r="BG74" t="s">
        <v>140</v>
      </c>
      <c r="BH74" t="s">
        <v>140</v>
      </c>
      <c r="BI74" t="s">
        <v>140</v>
      </c>
      <c r="BJ74" t="s">
        <v>140</v>
      </c>
      <c r="BK74" t="s">
        <v>140</v>
      </c>
      <c r="BL74" t="s">
        <v>140</v>
      </c>
      <c r="BM74" t="s">
        <v>140</v>
      </c>
      <c r="BN74" t="s">
        <v>140</v>
      </c>
      <c r="BO74" t="s">
        <v>140</v>
      </c>
      <c r="BP74" t="s">
        <v>140</v>
      </c>
      <c r="BQ74" t="s">
        <v>140</v>
      </c>
      <c r="BR74" t="s">
        <v>140</v>
      </c>
      <c r="BS74" t="s">
        <v>140</v>
      </c>
      <c r="BT74" t="s">
        <v>140</v>
      </c>
      <c r="BU74" t="s">
        <v>140</v>
      </c>
      <c r="BV74" t="s">
        <v>140</v>
      </c>
      <c r="BW74" t="s">
        <v>140</v>
      </c>
      <c r="BX74" t="s">
        <v>140</v>
      </c>
      <c r="BY74" t="s">
        <v>140</v>
      </c>
      <c r="BZ74" t="s">
        <v>140</v>
      </c>
      <c r="CA74" t="s">
        <v>140</v>
      </c>
      <c r="CB74" t="s">
        <v>140</v>
      </c>
      <c r="CC74" t="s">
        <v>140</v>
      </c>
      <c r="CD74" t="s">
        <v>140</v>
      </c>
      <c r="CE74" t="s">
        <v>140</v>
      </c>
      <c r="CF74" t="s">
        <v>140</v>
      </c>
      <c r="CG74" t="s">
        <v>140</v>
      </c>
      <c r="CH74" t="s">
        <v>140</v>
      </c>
      <c r="CI74" t="s">
        <v>140</v>
      </c>
      <c r="CJ74" t="s">
        <v>140</v>
      </c>
      <c r="CK74" t="s">
        <v>140</v>
      </c>
      <c r="CL74" t="s">
        <v>140</v>
      </c>
      <c r="CM74" t="s">
        <v>140</v>
      </c>
      <c r="CN74" t="s">
        <v>140</v>
      </c>
      <c r="CO74" t="s">
        <v>140</v>
      </c>
      <c r="CP74" t="s">
        <v>140</v>
      </c>
      <c r="CQ74" t="s">
        <v>140</v>
      </c>
      <c r="CR74" t="s">
        <v>140</v>
      </c>
      <c r="CS74" t="s">
        <v>140</v>
      </c>
      <c r="CT74" t="s">
        <v>140</v>
      </c>
      <c r="CU74" t="s">
        <v>140</v>
      </c>
      <c r="CV74" t="s">
        <v>140</v>
      </c>
      <c r="CW74" t="s">
        <v>140</v>
      </c>
      <c r="CX74" t="s">
        <v>140</v>
      </c>
      <c r="CY74" t="s">
        <v>140</v>
      </c>
      <c r="CZ74" t="s">
        <v>140</v>
      </c>
      <c r="DA74" t="s">
        <v>140</v>
      </c>
      <c r="DB74" t="s">
        <v>140</v>
      </c>
      <c r="DC74" s="1">
        <v>0</v>
      </c>
      <c r="DD74" s="1">
        <v>0</v>
      </c>
      <c r="DE74" s="1">
        <v>0</v>
      </c>
      <c r="DF74" s="1">
        <v>0</v>
      </c>
      <c r="DG74" s="1">
        <v>5513</v>
      </c>
      <c r="DH74" s="1">
        <v>7504</v>
      </c>
      <c r="DI74" s="1">
        <v>4944</v>
      </c>
      <c r="DJ74" s="1">
        <v>-1476</v>
      </c>
      <c r="DK74" s="1">
        <v>1894</v>
      </c>
      <c r="DL74" s="1">
        <v>2022</v>
      </c>
      <c r="DM74" s="1">
        <v>2152</v>
      </c>
      <c r="DN74" s="1">
        <v>2241</v>
      </c>
      <c r="DO74" s="1">
        <v>2411</v>
      </c>
      <c r="DP74" s="1">
        <v>2569</v>
      </c>
      <c r="DQ74" s="1">
        <v>2497</v>
      </c>
      <c r="DR74" s="1">
        <v>2735</v>
      </c>
      <c r="DS74" s="1">
        <v>2933</v>
      </c>
      <c r="DT74" s="1">
        <v>3212</v>
      </c>
      <c r="DU74" s="1">
        <v>3283</v>
      </c>
      <c r="DV74" s="1">
        <v>3369</v>
      </c>
      <c r="DW74" s="1">
        <v>3582</v>
      </c>
      <c r="DX74" s="1">
        <v>3664</v>
      </c>
      <c r="DY74" s="1">
        <v>3608</v>
      </c>
      <c r="DZ74" s="1">
        <v>3676</v>
      </c>
      <c r="EA74" s="1">
        <v>3870</v>
      </c>
      <c r="EB74" s="1">
        <v>3934</v>
      </c>
      <c r="EC74" s="1">
        <v>3817</v>
      </c>
      <c r="ED74" s="1">
        <v>3993</v>
      </c>
    </row>
    <row r="75" spans="1:134" x14ac:dyDescent="0.25">
      <c r="A75" t="s">
        <v>194</v>
      </c>
      <c r="B75" s="1">
        <v>4</v>
      </c>
      <c r="C75" s="1">
        <v>33</v>
      </c>
      <c r="D75" s="1">
        <v>39</v>
      </c>
      <c r="E75" s="1">
        <v>28</v>
      </c>
      <c r="F75" s="1">
        <v>32</v>
      </c>
      <c r="G75" s="1">
        <v>6</v>
      </c>
      <c r="H75" s="1">
        <v>4</v>
      </c>
      <c r="I75" s="1">
        <v>19</v>
      </c>
      <c r="J75" s="1">
        <v>85</v>
      </c>
      <c r="K75" s="1">
        <v>183</v>
      </c>
      <c r="L75" s="1">
        <v>126</v>
      </c>
      <c r="M75" s="1">
        <v>126</v>
      </c>
      <c r="N75" t="s">
        <v>141</v>
      </c>
      <c r="O75" t="s">
        <v>140</v>
      </c>
      <c r="P75" t="s">
        <v>140</v>
      </c>
      <c r="Q75" t="s">
        <v>140</v>
      </c>
      <c r="R75" t="s">
        <v>140</v>
      </c>
      <c r="S75" t="s">
        <v>140</v>
      </c>
      <c r="T75" t="s">
        <v>140</v>
      </c>
      <c r="U75" t="s">
        <v>140</v>
      </c>
      <c r="V75" t="s">
        <v>140</v>
      </c>
      <c r="W75" t="s">
        <v>140</v>
      </c>
      <c r="X75" t="s">
        <v>140</v>
      </c>
      <c r="Y75" t="s">
        <v>140</v>
      </c>
      <c r="Z75" t="s">
        <v>140</v>
      </c>
      <c r="AA75" t="s">
        <v>140</v>
      </c>
      <c r="AB75" t="s">
        <v>140</v>
      </c>
      <c r="AC75" t="s">
        <v>140</v>
      </c>
      <c r="AD75" t="s">
        <v>140</v>
      </c>
      <c r="AE75" t="s">
        <v>140</v>
      </c>
      <c r="AF75" t="s">
        <v>140</v>
      </c>
      <c r="AG75" t="s">
        <v>140</v>
      </c>
      <c r="AH75" t="s">
        <v>140</v>
      </c>
      <c r="AI75" t="s">
        <v>140</v>
      </c>
      <c r="AJ75" t="s">
        <v>140</v>
      </c>
      <c r="AK75" t="s">
        <v>140</v>
      </c>
      <c r="AL75" t="s">
        <v>140</v>
      </c>
      <c r="AM75" t="s">
        <v>140</v>
      </c>
      <c r="AN75" t="s">
        <v>140</v>
      </c>
      <c r="AO75" t="s">
        <v>140</v>
      </c>
      <c r="AP75" t="s">
        <v>140</v>
      </c>
      <c r="AQ75" t="s">
        <v>140</v>
      </c>
      <c r="AR75" t="s">
        <v>140</v>
      </c>
      <c r="AS75" t="s">
        <v>140</v>
      </c>
      <c r="AT75" t="s">
        <v>140</v>
      </c>
      <c r="AU75" t="s">
        <v>140</v>
      </c>
      <c r="AV75" t="s">
        <v>140</v>
      </c>
      <c r="AW75" t="s">
        <v>140</v>
      </c>
      <c r="AX75" t="s">
        <v>140</v>
      </c>
      <c r="AY75" t="s">
        <v>140</v>
      </c>
      <c r="AZ75" t="s">
        <v>140</v>
      </c>
      <c r="BA75" t="s">
        <v>140</v>
      </c>
      <c r="BB75" t="s">
        <v>140</v>
      </c>
      <c r="BC75" t="s">
        <v>140</v>
      </c>
      <c r="BD75" t="s">
        <v>140</v>
      </c>
      <c r="BE75" t="s">
        <v>140</v>
      </c>
      <c r="BF75" t="s">
        <v>140</v>
      </c>
      <c r="BG75" t="s">
        <v>140</v>
      </c>
      <c r="BH75" t="s">
        <v>140</v>
      </c>
      <c r="BI75" t="s">
        <v>140</v>
      </c>
      <c r="BJ75" t="s">
        <v>140</v>
      </c>
      <c r="BK75" t="s">
        <v>140</v>
      </c>
      <c r="BL75" t="s">
        <v>140</v>
      </c>
      <c r="BM75" t="s">
        <v>140</v>
      </c>
      <c r="BN75" t="s">
        <v>140</v>
      </c>
      <c r="BO75" t="s">
        <v>140</v>
      </c>
      <c r="BP75" t="s">
        <v>140</v>
      </c>
      <c r="BQ75" t="s">
        <v>140</v>
      </c>
      <c r="BR75" t="s">
        <v>140</v>
      </c>
      <c r="BS75" t="s">
        <v>140</v>
      </c>
      <c r="BT75" t="s">
        <v>140</v>
      </c>
      <c r="BU75" t="s">
        <v>140</v>
      </c>
      <c r="BV75" t="s">
        <v>140</v>
      </c>
      <c r="BW75" t="s">
        <v>140</v>
      </c>
      <c r="BX75" t="s">
        <v>140</v>
      </c>
      <c r="BY75" t="s">
        <v>140</v>
      </c>
      <c r="BZ75" t="s">
        <v>140</v>
      </c>
      <c r="CA75" t="s">
        <v>140</v>
      </c>
      <c r="CB75" t="s">
        <v>140</v>
      </c>
      <c r="CC75" t="s">
        <v>140</v>
      </c>
      <c r="CD75" t="s">
        <v>140</v>
      </c>
      <c r="CE75" t="s">
        <v>140</v>
      </c>
      <c r="CF75" t="s">
        <v>140</v>
      </c>
      <c r="CG75" t="s">
        <v>140</v>
      </c>
      <c r="CH75" t="s">
        <v>140</v>
      </c>
      <c r="CI75" t="s">
        <v>140</v>
      </c>
      <c r="CJ75" t="s">
        <v>140</v>
      </c>
      <c r="CK75" t="s">
        <v>140</v>
      </c>
      <c r="CL75" t="s">
        <v>140</v>
      </c>
      <c r="CM75" t="s">
        <v>140</v>
      </c>
      <c r="CN75" t="s">
        <v>140</v>
      </c>
      <c r="CO75" t="s">
        <v>140</v>
      </c>
      <c r="CP75" t="s">
        <v>140</v>
      </c>
      <c r="CQ75" t="s">
        <v>140</v>
      </c>
      <c r="CR75" t="s">
        <v>140</v>
      </c>
      <c r="CS75" t="s">
        <v>140</v>
      </c>
      <c r="CT75" t="s">
        <v>140</v>
      </c>
      <c r="CU75" t="s">
        <v>140</v>
      </c>
      <c r="CV75" t="s">
        <v>140</v>
      </c>
      <c r="CW75" t="s">
        <v>140</v>
      </c>
      <c r="CX75" t="s">
        <v>140</v>
      </c>
      <c r="CY75" t="s">
        <v>140</v>
      </c>
      <c r="CZ75" t="s">
        <v>140</v>
      </c>
      <c r="DA75" t="s">
        <v>140</v>
      </c>
      <c r="DB75" t="s">
        <v>140</v>
      </c>
      <c r="DC75" s="1">
        <v>0</v>
      </c>
      <c r="DD75" s="1">
        <v>0</v>
      </c>
      <c r="DE75" s="1">
        <v>0</v>
      </c>
      <c r="DF75" s="1">
        <v>0</v>
      </c>
      <c r="DG75" s="1">
        <v>4</v>
      </c>
      <c r="DH75" s="1">
        <v>2</v>
      </c>
      <c r="DI75" s="1">
        <v>1</v>
      </c>
      <c r="DJ75" s="1">
        <v>3</v>
      </c>
      <c r="DK75" s="1">
        <v>11</v>
      </c>
      <c r="DL75" s="1">
        <v>22</v>
      </c>
      <c r="DM75" s="1">
        <v>22</v>
      </c>
      <c r="DN75" s="1">
        <v>17</v>
      </c>
      <c r="DO75" s="1">
        <v>14</v>
      </c>
      <c r="DP75" s="1">
        <v>14</v>
      </c>
      <c r="DQ75" s="1">
        <v>14</v>
      </c>
      <c r="DR75" s="1">
        <v>18</v>
      </c>
      <c r="DS75" s="1">
        <v>4</v>
      </c>
      <c r="DT75" s="1">
        <v>2</v>
      </c>
      <c r="DU75" s="1">
        <v>2</v>
      </c>
      <c r="DV75" s="1">
        <v>2</v>
      </c>
      <c r="DW75" s="1">
        <v>2</v>
      </c>
      <c r="DX75" s="1">
        <v>17</v>
      </c>
      <c r="DY75" s="1">
        <v>59</v>
      </c>
      <c r="DZ75" s="1">
        <v>26</v>
      </c>
      <c r="EA75" s="1">
        <v>95</v>
      </c>
      <c r="EB75" s="1">
        <v>88</v>
      </c>
      <c r="EC75" s="1">
        <v>71</v>
      </c>
      <c r="ED75" s="1">
        <v>55</v>
      </c>
    </row>
    <row r="76" spans="1:134" x14ac:dyDescent="0.25">
      <c r="A76" t="s">
        <v>195</v>
      </c>
      <c r="B76" s="1">
        <v>-501</v>
      </c>
      <c r="C76" s="1">
        <v>-252</v>
      </c>
      <c r="D76" s="1">
        <v>-330</v>
      </c>
      <c r="E76" s="1">
        <v>-319</v>
      </c>
      <c r="F76" s="1">
        <v>-345</v>
      </c>
      <c r="G76" s="1">
        <v>-400</v>
      </c>
      <c r="H76" s="1">
        <v>-363</v>
      </c>
      <c r="I76" s="1">
        <v>-452</v>
      </c>
      <c r="J76" s="1">
        <v>-436</v>
      </c>
      <c r="K76" s="1">
        <v>-885</v>
      </c>
      <c r="L76" s="1">
        <v>-843</v>
      </c>
      <c r="M76" s="1">
        <v>-843</v>
      </c>
      <c r="N76" t="s">
        <v>141</v>
      </c>
      <c r="O76" t="s">
        <v>140</v>
      </c>
      <c r="P76" t="s">
        <v>140</v>
      </c>
      <c r="Q76" t="s">
        <v>140</v>
      </c>
      <c r="R76" t="s">
        <v>140</v>
      </c>
      <c r="S76" t="s">
        <v>140</v>
      </c>
      <c r="T76" t="s">
        <v>140</v>
      </c>
      <c r="U76" t="s">
        <v>140</v>
      </c>
      <c r="V76" t="s">
        <v>140</v>
      </c>
      <c r="W76" t="s">
        <v>140</v>
      </c>
      <c r="X76" t="s">
        <v>140</v>
      </c>
      <c r="Y76" t="s">
        <v>140</v>
      </c>
      <c r="Z76" t="s">
        <v>140</v>
      </c>
      <c r="AA76" t="s">
        <v>140</v>
      </c>
      <c r="AB76" t="s">
        <v>140</v>
      </c>
      <c r="AC76" t="s">
        <v>140</v>
      </c>
      <c r="AD76" t="s">
        <v>140</v>
      </c>
      <c r="AE76" t="s">
        <v>140</v>
      </c>
      <c r="AF76" t="s">
        <v>140</v>
      </c>
      <c r="AG76" t="s">
        <v>140</v>
      </c>
      <c r="AH76" t="s">
        <v>140</v>
      </c>
      <c r="AI76" t="s">
        <v>140</v>
      </c>
      <c r="AJ76" t="s">
        <v>140</v>
      </c>
      <c r="AK76" t="s">
        <v>140</v>
      </c>
      <c r="AL76" t="s">
        <v>140</v>
      </c>
      <c r="AM76" t="s">
        <v>140</v>
      </c>
      <c r="AN76" t="s">
        <v>140</v>
      </c>
      <c r="AO76" t="s">
        <v>140</v>
      </c>
      <c r="AP76" t="s">
        <v>140</v>
      </c>
      <c r="AQ76" t="s">
        <v>140</v>
      </c>
      <c r="AR76" t="s">
        <v>140</v>
      </c>
      <c r="AS76" t="s">
        <v>140</v>
      </c>
      <c r="AT76" t="s">
        <v>140</v>
      </c>
      <c r="AU76" t="s">
        <v>140</v>
      </c>
      <c r="AV76" t="s">
        <v>140</v>
      </c>
      <c r="AW76" t="s">
        <v>140</v>
      </c>
      <c r="AX76" t="s">
        <v>140</v>
      </c>
      <c r="AY76" t="s">
        <v>140</v>
      </c>
      <c r="AZ76" t="s">
        <v>140</v>
      </c>
      <c r="BA76" t="s">
        <v>140</v>
      </c>
      <c r="BB76" t="s">
        <v>140</v>
      </c>
      <c r="BC76" t="s">
        <v>140</v>
      </c>
      <c r="BD76" t="s">
        <v>140</v>
      </c>
      <c r="BE76" t="s">
        <v>140</v>
      </c>
      <c r="BF76" t="s">
        <v>140</v>
      </c>
      <c r="BG76" t="s">
        <v>140</v>
      </c>
      <c r="BH76" t="s">
        <v>140</v>
      </c>
      <c r="BI76" t="s">
        <v>140</v>
      </c>
      <c r="BJ76" t="s">
        <v>140</v>
      </c>
      <c r="BK76" t="s">
        <v>140</v>
      </c>
      <c r="BL76" t="s">
        <v>140</v>
      </c>
      <c r="BM76" t="s">
        <v>140</v>
      </c>
      <c r="BN76" t="s">
        <v>140</v>
      </c>
      <c r="BO76" t="s">
        <v>140</v>
      </c>
      <c r="BP76" t="s">
        <v>140</v>
      </c>
      <c r="BQ76" t="s">
        <v>140</v>
      </c>
      <c r="BR76" t="s">
        <v>140</v>
      </c>
      <c r="BS76" t="s">
        <v>140</v>
      </c>
      <c r="BT76" t="s">
        <v>140</v>
      </c>
      <c r="BU76" t="s">
        <v>140</v>
      </c>
      <c r="BV76" t="s">
        <v>140</v>
      </c>
      <c r="BW76" t="s">
        <v>140</v>
      </c>
      <c r="BX76" t="s">
        <v>140</v>
      </c>
      <c r="BY76" t="s">
        <v>140</v>
      </c>
      <c r="BZ76" t="s">
        <v>140</v>
      </c>
      <c r="CA76" t="s">
        <v>140</v>
      </c>
      <c r="CB76" t="s">
        <v>140</v>
      </c>
      <c r="CC76" t="s">
        <v>140</v>
      </c>
      <c r="CD76" t="s">
        <v>140</v>
      </c>
      <c r="CE76" t="s">
        <v>140</v>
      </c>
      <c r="CF76" t="s">
        <v>140</v>
      </c>
      <c r="CG76" t="s">
        <v>140</v>
      </c>
      <c r="CH76" t="s">
        <v>140</v>
      </c>
      <c r="CI76" t="s">
        <v>140</v>
      </c>
      <c r="CJ76" t="s">
        <v>140</v>
      </c>
      <c r="CK76" t="s">
        <v>140</v>
      </c>
      <c r="CL76" t="s">
        <v>140</v>
      </c>
      <c r="CM76" t="s">
        <v>140</v>
      </c>
      <c r="CN76" t="s">
        <v>140</v>
      </c>
      <c r="CO76" t="s">
        <v>140</v>
      </c>
      <c r="CP76" t="s">
        <v>140</v>
      </c>
      <c r="CQ76" t="s">
        <v>140</v>
      </c>
      <c r="CR76" t="s">
        <v>140</v>
      </c>
      <c r="CS76" t="s">
        <v>140</v>
      </c>
      <c r="CT76" t="s">
        <v>140</v>
      </c>
      <c r="CU76" t="s">
        <v>140</v>
      </c>
      <c r="CV76" t="s">
        <v>140</v>
      </c>
      <c r="CW76" t="s">
        <v>140</v>
      </c>
      <c r="CX76" t="s">
        <v>140</v>
      </c>
      <c r="CY76" t="s">
        <v>140</v>
      </c>
      <c r="CZ76" t="s">
        <v>140</v>
      </c>
      <c r="DA76" t="s">
        <v>140</v>
      </c>
      <c r="DB76" t="s">
        <v>140</v>
      </c>
      <c r="DC76" s="1">
        <v>0</v>
      </c>
      <c r="DD76" s="1">
        <v>0</v>
      </c>
      <c r="DE76" s="1">
        <v>0</v>
      </c>
      <c r="DF76" s="1">
        <v>0</v>
      </c>
      <c r="DG76" s="1">
        <v>-266</v>
      </c>
      <c r="DH76" s="1">
        <v>-317</v>
      </c>
      <c r="DI76" s="1">
        <v>-271</v>
      </c>
      <c r="DJ76" s="1">
        <v>-230</v>
      </c>
      <c r="DK76" s="1">
        <v>-197</v>
      </c>
      <c r="DL76" s="1">
        <v>-55</v>
      </c>
      <c r="DM76" s="1">
        <v>-164</v>
      </c>
      <c r="DN76" s="1">
        <v>-166</v>
      </c>
      <c r="DO76" s="1">
        <v>-165</v>
      </c>
      <c r="DP76" s="1">
        <v>-154</v>
      </c>
      <c r="DQ76" s="1">
        <v>-159</v>
      </c>
      <c r="DR76" s="1">
        <v>-186</v>
      </c>
      <c r="DS76" s="1">
        <v>-177</v>
      </c>
      <c r="DT76" s="1">
        <v>-223</v>
      </c>
      <c r="DU76" s="1">
        <v>-180</v>
      </c>
      <c r="DV76" s="1">
        <v>-183</v>
      </c>
      <c r="DW76" s="1">
        <v>-193</v>
      </c>
      <c r="DX76" s="1">
        <v>-259</v>
      </c>
      <c r="DY76" s="1">
        <v>-226</v>
      </c>
      <c r="DZ76" s="1">
        <v>-210</v>
      </c>
      <c r="EA76" s="1">
        <v>-419</v>
      </c>
      <c r="EB76" s="1">
        <v>-466</v>
      </c>
      <c r="EC76" s="1">
        <v>-446</v>
      </c>
      <c r="ED76" s="1">
        <v>-397</v>
      </c>
    </row>
    <row r="77" spans="1:134" x14ac:dyDescent="0.25">
      <c r="A77" t="s">
        <v>196</v>
      </c>
      <c r="B77" s="1">
        <v>-497</v>
      </c>
      <c r="C77" s="1">
        <v>-398</v>
      </c>
      <c r="D77" s="1">
        <v>-402</v>
      </c>
      <c r="E77" s="1">
        <v>-365</v>
      </c>
      <c r="F77" s="1">
        <v>-327</v>
      </c>
      <c r="G77" s="1">
        <v>-502</v>
      </c>
      <c r="H77" s="1">
        <v>-513</v>
      </c>
      <c r="I77" s="1">
        <v>-576</v>
      </c>
      <c r="J77" s="1">
        <v>-423</v>
      </c>
      <c r="K77" s="1">
        <v>-864</v>
      </c>
      <c r="L77" s="1">
        <v>-938</v>
      </c>
      <c r="M77" s="1">
        <v>-938</v>
      </c>
      <c r="N77" t="s">
        <v>141</v>
      </c>
      <c r="O77" t="s">
        <v>140</v>
      </c>
      <c r="P77" t="s">
        <v>140</v>
      </c>
      <c r="Q77" t="s">
        <v>140</v>
      </c>
      <c r="R77" t="s">
        <v>140</v>
      </c>
      <c r="S77" t="s">
        <v>140</v>
      </c>
      <c r="T77" t="s">
        <v>140</v>
      </c>
      <c r="U77" t="s">
        <v>140</v>
      </c>
      <c r="V77" t="s">
        <v>140</v>
      </c>
      <c r="W77" t="s">
        <v>140</v>
      </c>
      <c r="X77" t="s">
        <v>140</v>
      </c>
      <c r="Y77" t="s">
        <v>140</v>
      </c>
      <c r="Z77" t="s">
        <v>140</v>
      </c>
      <c r="AA77" t="s">
        <v>140</v>
      </c>
      <c r="AB77" t="s">
        <v>140</v>
      </c>
      <c r="AC77" t="s">
        <v>140</v>
      </c>
      <c r="AD77" t="s">
        <v>140</v>
      </c>
      <c r="AE77" t="s">
        <v>140</v>
      </c>
      <c r="AF77" t="s">
        <v>140</v>
      </c>
      <c r="AG77" t="s">
        <v>140</v>
      </c>
      <c r="AH77" t="s">
        <v>140</v>
      </c>
      <c r="AI77" t="s">
        <v>140</v>
      </c>
      <c r="AJ77" t="s">
        <v>140</v>
      </c>
      <c r="AK77" t="s">
        <v>140</v>
      </c>
      <c r="AL77" t="s">
        <v>140</v>
      </c>
      <c r="AM77" t="s">
        <v>140</v>
      </c>
      <c r="AN77" t="s">
        <v>140</v>
      </c>
      <c r="AO77" t="s">
        <v>140</v>
      </c>
      <c r="AP77" t="s">
        <v>140</v>
      </c>
      <c r="AQ77" t="s">
        <v>140</v>
      </c>
      <c r="AR77" t="s">
        <v>140</v>
      </c>
      <c r="AS77" t="s">
        <v>140</v>
      </c>
      <c r="AT77" t="s">
        <v>140</v>
      </c>
      <c r="AU77" t="s">
        <v>140</v>
      </c>
      <c r="AV77" t="s">
        <v>140</v>
      </c>
      <c r="AW77" t="s">
        <v>140</v>
      </c>
      <c r="AX77" t="s">
        <v>140</v>
      </c>
      <c r="AY77" t="s">
        <v>140</v>
      </c>
      <c r="AZ77" t="s">
        <v>140</v>
      </c>
      <c r="BA77" t="s">
        <v>140</v>
      </c>
      <c r="BB77" t="s">
        <v>140</v>
      </c>
      <c r="BC77" t="s">
        <v>140</v>
      </c>
      <c r="BD77" t="s">
        <v>140</v>
      </c>
      <c r="BE77" t="s">
        <v>140</v>
      </c>
      <c r="BF77" t="s">
        <v>140</v>
      </c>
      <c r="BG77" t="s">
        <v>140</v>
      </c>
      <c r="BH77" t="s">
        <v>140</v>
      </c>
      <c r="BI77" t="s">
        <v>140</v>
      </c>
      <c r="BJ77" t="s">
        <v>140</v>
      </c>
      <c r="BK77" t="s">
        <v>140</v>
      </c>
      <c r="BL77" t="s">
        <v>140</v>
      </c>
      <c r="BM77" t="s">
        <v>140</v>
      </c>
      <c r="BN77" t="s">
        <v>140</v>
      </c>
      <c r="BO77" t="s">
        <v>140</v>
      </c>
      <c r="BP77" t="s">
        <v>140</v>
      </c>
      <c r="BQ77" t="s">
        <v>140</v>
      </c>
      <c r="BR77" t="s">
        <v>140</v>
      </c>
      <c r="BS77" t="s">
        <v>140</v>
      </c>
      <c r="BT77" t="s">
        <v>140</v>
      </c>
      <c r="BU77" t="s">
        <v>140</v>
      </c>
      <c r="BV77" t="s">
        <v>140</v>
      </c>
      <c r="BW77" t="s">
        <v>140</v>
      </c>
      <c r="BX77" t="s">
        <v>140</v>
      </c>
      <c r="BY77" t="s">
        <v>140</v>
      </c>
      <c r="BZ77" t="s">
        <v>140</v>
      </c>
      <c r="CA77" t="s">
        <v>140</v>
      </c>
      <c r="CB77" t="s">
        <v>140</v>
      </c>
      <c r="CC77" t="s">
        <v>140</v>
      </c>
      <c r="CD77" t="s">
        <v>140</v>
      </c>
      <c r="CE77" t="s">
        <v>140</v>
      </c>
      <c r="CF77" t="s">
        <v>140</v>
      </c>
      <c r="CG77" t="s">
        <v>140</v>
      </c>
      <c r="CH77" t="s">
        <v>140</v>
      </c>
      <c r="CI77" t="s">
        <v>140</v>
      </c>
      <c r="CJ77" t="s">
        <v>140</v>
      </c>
      <c r="CK77" t="s">
        <v>140</v>
      </c>
      <c r="CL77" t="s">
        <v>140</v>
      </c>
      <c r="CM77" t="s">
        <v>140</v>
      </c>
      <c r="CN77" t="s">
        <v>140</v>
      </c>
      <c r="CO77" t="s">
        <v>140</v>
      </c>
      <c r="CP77" t="s">
        <v>140</v>
      </c>
      <c r="CQ77" t="s">
        <v>140</v>
      </c>
      <c r="CR77" t="s">
        <v>140</v>
      </c>
      <c r="CS77" t="s">
        <v>140</v>
      </c>
      <c r="CT77" t="s">
        <v>140</v>
      </c>
      <c r="CU77" t="s">
        <v>140</v>
      </c>
      <c r="CV77" t="s">
        <v>140</v>
      </c>
      <c r="CW77" t="s">
        <v>140</v>
      </c>
      <c r="CX77" t="s">
        <v>140</v>
      </c>
      <c r="CY77" t="s">
        <v>140</v>
      </c>
      <c r="CZ77" t="s">
        <v>140</v>
      </c>
      <c r="DA77" t="s">
        <v>140</v>
      </c>
      <c r="DB77" t="s">
        <v>140</v>
      </c>
      <c r="DC77" s="1">
        <v>0</v>
      </c>
      <c r="DD77" s="1">
        <v>0</v>
      </c>
      <c r="DE77" s="1">
        <v>0</v>
      </c>
      <c r="DF77" s="1">
        <v>0</v>
      </c>
      <c r="DG77" s="1">
        <v>-262</v>
      </c>
      <c r="DH77" s="1">
        <v>-315</v>
      </c>
      <c r="DI77" s="1">
        <v>-270</v>
      </c>
      <c r="DJ77" s="1">
        <v>-227</v>
      </c>
      <c r="DK77" s="1">
        <v>-186</v>
      </c>
      <c r="DL77" s="1">
        <v>-212</v>
      </c>
      <c r="DM77" s="1">
        <v>-206</v>
      </c>
      <c r="DN77" s="1">
        <v>-196</v>
      </c>
      <c r="DO77" s="1">
        <v>-179</v>
      </c>
      <c r="DP77" s="1">
        <v>-186</v>
      </c>
      <c r="DQ77" s="1">
        <v>-155</v>
      </c>
      <c r="DR77" s="1">
        <v>-172</v>
      </c>
      <c r="DS77" s="1">
        <v>-212</v>
      </c>
      <c r="DT77" s="1">
        <v>-290</v>
      </c>
      <c r="DU77" s="1">
        <v>-249</v>
      </c>
      <c r="DV77" s="1">
        <v>-264</v>
      </c>
      <c r="DW77" s="1">
        <v>-264</v>
      </c>
      <c r="DX77" s="1">
        <v>-312</v>
      </c>
      <c r="DY77" s="1">
        <v>-153</v>
      </c>
      <c r="DZ77" s="1">
        <v>-270</v>
      </c>
      <c r="EA77" s="1">
        <v>-356</v>
      </c>
      <c r="EB77" s="1">
        <v>-508</v>
      </c>
      <c r="EC77" s="1">
        <v>-484</v>
      </c>
      <c r="ED77" s="1">
        <v>-454</v>
      </c>
    </row>
    <row r="78" spans="1:134" x14ac:dyDescent="0.25">
      <c r="A78" t="s">
        <v>197</v>
      </c>
      <c r="B78" s="1">
        <v>12812</v>
      </c>
      <c r="C78" s="1">
        <v>6680</v>
      </c>
      <c r="D78" s="1">
        <v>17705</v>
      </c>
      <c r="E78" s="1">
        <v>13445</v>
      </c>
      <c r="F78" s="1">
        <v>23144</v>
      </c>
      <c r="G78" s="1">
        <v>11659</v>
      </c>
      <c r="H78" s="1">
        <v>12831</v>
      </c>
      <c r="I78" s="1">
        <v>42729</v>
      </c>
      <c r="J78" s="1">
        <v>14940</v>
      </c>
      <c r="K78" s="1">
        <v>-23531</v>
      </c>
      <c r="L78" s="1">
        <v>-5028</v>
      </c>
      <c r="M78" s="1">
        <v>-5028</v>
      </c>
      <c r="N78" t="s">
        <v>141</v>
      </c>
      <c r="O78" t="s">
        <v>140</v>
      </c>
      <c r="P78" t="s">
        <v>140</v>
      </c>
      <c r="Q78" t="s">
        <v>140</v>
      </c>
      <c r="R78" t="s">
        <v>140</v>
      </c>
      <c r="S78" t="s">
        <v>140</v>
      </c>
      <c r="T78" t="s">
        <v>140</v>
      </c>
      <c r="U78" t="s">
        <v>140</v>
      </c>
      <c r="V78" t="s">
        <v>140</v>
      </c>
      <c r="W78" t="s">
        <v>140</v>
      </c>
      <c r="X78" t="s">
        <v>140</v>
      </c>
      <c r="Y78" t="s">
        <v>140</v>
      </c>
      <c r="Z78" t="s">
        <v>140</v>
      </c>
      <c r="AA78" t="s">
        <v>140</v>
      </c>
      <c r="AB78" t="s">
        <v>140</v>
      </c>
      <c r="AC78" t="s">
        <v>140</v>
      </c>
      <c r="AD78" t="s">
        <v>140</v>
      </c>
      <c r="AE78" t="s">
        <v>140</v>
      </c>
      <c r="AF78" t="s">
        <v>140</v>
      </c>
      <c r="AG78" t="s">
        <v>140</v>
      </c>
      <c r="AH78" t="s">
        <v>140</v>
      </c>
      <c r="AI78" t="s">
        <v>140</v>
      </c>
      <c r="AJ78" t="s">
        <v>140</v>
      </c>
      <c r="AK78" t="s">
        <v>140</v>
      </c>
      <c r="AL78" t="s">
        <v>140</v>
      </c>
      <c r="AM78" t="s">
        <v>140</v>
      </c>
      <c r="AN78" t="s">
        <v>140</v>
      </c>
      <c r="AO78" t="s">
        <v>140</v>
      </c>
      <c r="AP78" t="s">
        <v>140</v>
      </c>
      <c r="AQ78" t="s">
        <v>140</v>
      </c>
      <c r="AR78" t="s">
        <v>140</v>
      </c>
      <c r="AS78" t="s">
        <v>140</v>
      </c>
      <c r="AT78" t="s">
        <v>140</v>
      </c>
      <c r="AU78" t="s">
        <v>140</v>
      </c>
      <c r="AV78" t="s">
        <v>140</v>
      </c>
      <c r="AW78" t="s">
        <v>140</v>
      </c>
      <c r="AX78" t="s">
        <v>140</v>
      </c>
      <c r="AY78" t="s">
        <v>140</v>
      </c>
      <c r="AZ78" t="s">
        <v>140</v>
      </c>
      <c r="BA78" t="s">
        <v>140</v>
      </c>
      <c r="BB78" t="s">
        <v>140</v>
      </c>
      <c r="BC78" t="s">
        <v>140</v>
      </c>
      <c r="BD78" t="s">
        <v>140</v>
      </c>
      <c r="BE78" t="s">
        <v>140</v>
      </c>
      <c r="BF78" t="s">
        <v>140</v>
      </c>
      <c r="BG78" t="s">
        <v>140</v>
      </c>
      <c r="BH78" t="s">
        <v>140</v>
      </c>
      <c r="BI78" t="s">
        <v>140</v>
      </c>
      <c r="BJ78" t="s">
        <v>140</v>
      </c>
      <c r="BK78" t="s">
        <v>140</v>
      </c>
      <c r="BL78" t="s">
        <v>140</v>
      </c>
      <c r="BM78" t="s">
        <v>140</v>
      </c>
      <c r="BN78" t="s">
        <v>140</v>
      </c>
      <c r="BO78" t="s">
        <v>140</v>
      </c>
      <c r="BP78" t="s">
        <v>140</v>
      </c>
      <c r="BQ78" t="s">
        <v>140</v>
      </c>
      <c r="BR78" t="s">
        <v>140</v>
      </c>
      <c r="BS78" t="s">
        <v>140</v>
      </c>
      <c r="BT78" t="s">
        <v>140</v>
      </c>
      <c r="BU78" t="s">
        <v>140</v>
      </c>
      <c r="BV78" t="s">
        <v>140</v>
      </c>
      <c r="BW78" t="s">
        <v>140</v>
      </c>
      <c r="BX78" t="s">
        <v>140</v>
      </c>
      <c r="BY78" t="s">
        <v>140</v>
      </c>
      <c r="BZ78" t="s">
        <v>140</v>
      </c>
      <c r="CA78" t="s">
        <v>140</v>
      </c>
      <c r="CB78" t="s">
        <v>140</v>
      </c>
      <c r="CC78" t="s">
        <v>140</v>
      </c>
      <c r="CD78" t="s">
        <v>140</v>
      </c>
      <c r="CE78" t="s">
        <v>140</v>
      </c>
      <c r="CF78" t="s">
        <v>140</v>
      </c>
      <c r="CG78" t="s">
        <v>140</v>
      </c>
      <c r="CH78" t="s">
        <v>140</v>
      </c>
      <c r="CI78" t="s">
        <v>140</v>
      </c>
      <c r="CJ78" t="s">
        <v>140</v>
      </c>
      <c r="CK78" t="s">
        <v>140</v>
      </c>
      <c r="CL78" t="s">
        <v>140</v>
      </c>
      <c r="CM78" t="s">
        <v>140</v>
      </c>
      <c r="CN78" t="s">
        <v>140</v>
      </c>
      <c r="CO78" t="s">
        <v>140</v>
      </c>
      <c r="CP78" t="s">
        <v>140</v>
      </c>
      <c r="CQ78" t="s">
        <v>140</v>
      </c>
      <c r="CR78" t="s">
        <v>140</v>
      </c>
      <c r="CS78" t="s">
        <v>140</v>
      </c>
      <c r="CT78" t="s">
        <v>140</v>
      </c>
      <c r="CU78" t="s">
        <v>140</v>
      </c>
      <c r="CV78" t="s">
        <v>140</v>
      </c>
      <c r="CW78" t="s">
        <v>140</v>
      </c>
      <c r="CX78" t="s">
        <v>140</v>
      </c>
      <c r="CY78" t="s">
        <v>140</v>
      </c>
      <c r="CZ78" t="s">
        <v>140</v>
      </c>
      <c r="DA78" t="s">
        <v>140</v>
      </c>
      <c r="DB78" t="s">
        <v>140</v>
      </c>
      <c r="DC78" s="1">
        <v>0</v>
      </c>
      <c r="DD78" s="1">
        <v>0</v>
      </c>
      <c r="DE78" s="1">
        <v>0</v>
      </c>
      <c r="DF78" s="1">
        <v>0</v>
      </c>
      <c r="DG78" s="1">
        <v>0</v>
      </c>
      <c r="DH78" s="1">
        <v>0</v>
      </c>
      <c r="DI78" s="1">
        <v>0</v>
      </c>
      <c r="DJ78" s="1">
        <v>12812</v>
      </c>
      <c r="DK78" s="1">
        <v>3272</v>
      </c>
      <c r="DL78" s="1">
        <v>3408</v>
      </c>
      <c r="DM78" s="1">
        <v>6787</v>
      </c>
      <c r="DN78" s="1">
        <v>10918</v>
      </c>
      <c r="DO78" s="1">
        <v>5211</v>
      </c>
      <c r="DP78" s="1">
        <v>8234</v>
      </c>
      <c r="DQ78" s="1">
        <v>15101</v>
      </c>
      <c r="DR78" s="1">
        <v>8043</v>
      </c>
      <c r="DS78" s="1">
        <v>5785</v>
      </c>
      <c r="DT78" s="1">
        <v>5874</v>
      </c>
      <c r="DU78" s="1">
        <v>3540</v>
      </c>
      <c r="DV78" s="1">
        <v>9291</v>
      </c>
      <c r="DW78" s="1">
        <v>9410</v>
      </c>
      <c r="DX78" s="1">
        <v>33319</v>
      </c>
      <c r="DY78" s="1">
        <v>6612</v>
      </c>
      <c r="DZ78" s="1">
        <v>8328</v>
      </c>
      <c r="EA78" s="1">
        <v>3880</v>
      </c>
      <c r="EB78" s="1">
        <v>-27411</v>
      </c>
      <c r="EC78" s="1">
        <v>-7125</v>
      </c>
      <c r="ED78" s="1">
        <v>2097</v>
      </c>
    </row>
    <row r="79" spans="1:134" x14ac:dyDescent="0.25">
      <c r="A79" t="s">
        <v>198</v>
      </c>
      <c r="B79" s="1">
        <v>15783</v>
      </c>
      <c r="C79" s="1">
        <v>10198</v>
      </c>
      <c r="D79" s="1">
        <v>21696</v>
      </c>
      <c r="E79" s="1">
        <v>18060</v>
      </c>
      <c r="F79" s="1">
        <v>28049</v>
      </c>
      <c r="G79" s="1">
        <v>17302</v>
      </c>
      <c r="H79" s="1">
        <v>18970</v>
      </c>
      <c r="I79" s="1">
        <v>49399</v>
      </c>
      <c r="J79" s="1">
        <v>21801</v>
      </c>
      <c r="K79" s="1">
        <v>-16591</v>
      </c>
      <c r="L79" s="1">
        <v>1844</v>
      </c>
      <c r="M79" s="1">
        <v>1844</v>
      </c>
      <c r="N79" t="s">
        <v>141</v>
      </c>
      <c r="O79" t="s">
        <v>140</v>
      </c>
      <c r="P79" t="s">
        <v>140</v>
      </c>
      <c r="Q79" t="s">
        <v>140</v>
      </c>
      <c r="R79" t="s">
        <v>140</v>
      </c>
      <c r="S79" t="s">
        <v>140</v>
      </c>
      <c r="T79" t="s">
        <v>140</v>
      </c>
      <c r="U79" t="s">
        <v>140</v>
      </c>
      <c r="V79" t="s">
        <v>140</v>
      </c>
      <c r="W79" t="s">
        <v>140</v>
      </c>
      <c r="X79" t="s">
        <v>140</v>
      </c>
      <c r="Y79" t="s">
        <v>140</v>
      </c>
      <c r="Z79" t="s">
        <v>140</v>
      </c>
      <c r="AA79" t="s">
        <v>140</v>
      </c>
      <c r="AB79" t="s">
        <v>140</v>
      </c>
      <c r="AC79" t="s">
        <v>140</v>
      </c>
      <c r="AD79" t="s">
        <v>140</v>
      </c>
      <c r="AE79" t="s">
        <v>140</v>
      </c>
      <c r="AF79" t="s">
        <v>140</v>
      </c>
      <c r="AG79" t="s">
        <v>140</v>
      </c>
      <c r="AH79" t="s">
        <v>140</v>
      </c>
      <c r="AI79" t="s">
        <v>140</v>
      </c>
      <c r="AJ79" t="s">
        <v>140</v>
      </c>
      <c r="AK79" t="s">
        <v>140</v>
      </c>
      <c r="AL79" t="s">
        <v>140</v>
      </c>
      <c r="AM79" t="s">
        <v>140</v>
      </c>
      <c r="AN79" t="s">
        <v>140</v>
      </c>
      <c r="AO79" t="s">
        <v>140</v>
      </c>
      <c r="AP79" t="s">
        <v>140</v>
      </c>
      <c r="AQ79" t="s">
        <v>140</v>
      </c>
      <c r="AR79" t="s">
        <v>140</v>
      </c>
      <c r="AS79" t="s">
        <v>140</v>
      </c>
      <c r="AT79" t="s">
        <v>140</v>
      </c>
      <c r="AU79" t="s">
        <v>140</v>
      </c>
      <c r="AV79" t="s">
        <v>140</v>
      </c>
      <c r="AW79" t="s">
        <v>140</v>
      </c>
      <c r="AX79" t="s">
        <v>140</v>
      </c>
      <c r="AY79" t="s">
        <v>140</v>
      </c>
      <c r="AZ79" t="s">
        <v>140</v>
      </c>
      <c r="BA79" t="s">
        <v>140</v>
      </c>
      <c r="BB79" t="s">
        <v>140</v>
      </c>
      <c r="BC79" t="s">
        <v>140</v>
      </c>
      <c r="BD79" t="s">
        <v>140</v>
      </c>
      <c r="BE79" t="s">
        <v>140</v>
      </c>
      <c r="BF79" t="s">
        <v>140</v>
      </c>
      <c r="BG79" t="s">
        <v>140</v>
      </c>
      <c r="BH79" t="s">
        <v>140</v>
      </c>
      <c r="BI79" t="s">
        <v>140</v>
      </c>
      <c r="BJ79" t="s">
        <v>140</v>
      </c>
      <c r="BK79" t="s">
        <v>140</v>
      </c>
      <c r="BL79" t="s">
        <v>140</v>
      </c>
      <c r="BM79" t="s">
        <v>140</v>
      </c>
      <c r="BN79" t="s">
        <v>140</v>
      </c>
      <c r="BO79" t="s">
        <v>140</v>
      </c>
      <c r="BP79" t="s">
        <v>140</v>
      </c>
      <c r="BQ79" t="s">
        <v>140</v>
      </c>
      <c r="BR79" t="s">
        <v>140</v>
      </c>
      <c r="BS79" t="s">
        <v>140</v>
      </c>
      <c r="BT79" t="s">
        <v>140</v>
      </c>
      <c r="BU79" t="s">
        <v>140</v>
      </c>
      <c r="BV79" t="s">
        <v>140</v>
      </c>
      <c r="BW79" t="s">
        <v>140</v>
      </c>
      <c r="BX79" t="s">
        <v>140</v>
      </c>
      <c r="BY79" t="s">
        <v>140</v>
      </c>
      <c r="BZ79" t="s">
        <v>140</v>
      </c>
      <c r="CA79" t="s">
        <v>140</v>
      </c>
      <c r="CB79" t="s">
        <v>140</v>
      </c>
      <c r="CC79" t="s">
        <v>140</v>
      </c>
      <c r="CD79" t="s">
        <v>140</v>
      </c>
      <c r="CE79" t="s">
        <v>140</v>
      </c>
      <c r="CF79" t="s">
        <v>140</v>
      </c>
      <c r="CG79" t="s">
        <v>140</v>
      </c>
      <c r="CH79" t="s">
        <v>140</v>
      </c>
      <c r="CI79" t="s">
        <v>140</v>
      </c>
      <c r="CJ79" t="s">
        <v>140</v>
      </c>
      <c r="CK79" t="s">
        <v>140</v>
      </c>
      <c r="CL79" t="s">
        <v>140</v>
      </c>
      <c r="CM79" t="s">
        <v>140</v>
      </c>
      <c r="CN79" t="s">
        <v>140</v>
      </c>
      <c r="CO79" t="s">
        <v>140</v>
      </c>
      <c r="CP79" t="s">
        <v>140</v>
      </c>
      <c r="CQ79" t="s">
        <v>140</v>
      </c>
      <c r="CR79" t="s">
        <v>140</v>
      </c>
      <c r="CS79" t="s">
        <v>140</v>
      </c>
      <c r="CT79" t="s">
        <v>140</v>
      </c>
      <c r="CU79" t="s">
        <v>140</v>
      </c>
      <c r="CV79" t="s">
        <v>140</v>
      </c>
      <c r="CW79" t="s">
        <v>140</v>
      </c>
      <c r="CX79" t="s">
        <v>140</v>
      </c>
      <c r="CY79" t="s">
        <v>140</v>
      </c>
      <c r="CZ79" t="s">
        <v>140</v>
      </c>
      <c r="DA79" t="s">
        <v>140</v>
      </c>
      <c r="DB79" t="s">
        <v>140</v>
      </c>
      <c r="DC79" s="1">
        <v>0</v>
      </c>
      <c r="DD79" s="1">
        <v>0</v>
      </c>
      <c r="DE79" s="1">
        <v>0</v>
      </c>
      <c r="DF79" s="1">
        <v>0</v>
      </c>
      <c r="DG79" s="1">
        <v>5251</v>
      </c>
      <c r="DH79" s="1">
        <v>7189</v>
      </c>
      <c r="DI79" s="1">
        <v>4674</v>
      </c>
      <c r="DJ79" s="1">
        <v>11109</v>
      </c>
      <c r="DK79" s="1">
        <v>4980</v>
      </c>
      <c r="DL79" s="1">
        <v>5218</v>
      </c>
      <c r="DM79" s="1">
        <v>8733</v>
      </c>
      <c r="DN79" s="1">
        <v>12963</v>
      </c>
      <c r="DO79" s="1">
        <v>7443</v>
      </c>
      <c r="DP79" s="1">
        <v>10617</v>
      </c>
      <c r="DQ79" s="1">
        <v>17443</v>
      </c>
      <c r="DR79" s="1">
        <v>10606</v>
      </c>
      <c r="DS79" s="1">
        <v>8506</v>
      </c>
      <c r="DT79" s="1">
        <v>8796</v>
      </c>
      <c r="DU79" s="1">
        <v>6574</v>
      </c>
      <c r="DV79" s="1">
        <v>12396</v>
      </c>
      <c r="DW79" s="1">
        <v>12728</v>
      </c>
      <c r="DX79" s="1">
        <v>36671</v>
      </c>
      <c r="DY79" s="1">
        <v>10067</v>
      </c>
      <c r="DZ79" s="1">
        <v>11734</v>
      </c>
      <c r="EA79" s="1">
        <v>7394</v>
      </c>
      <c r="EB79" s="1">
        <v>-23985</v>
      </c>
      <c r="EC79" s="1">
        <v>-3792</v>
      </c>
      <c r="ED79" s="1">
        <v>5636</v>
      </c>
    </row>
    <row r="80" spans="1:134" x14ac:dyDescent="0.25">
      <c r="A80" t="s">
        <v>199</v>
      </c>
      <c r="B80" s="1">
        <v>-503</v>
      </c>
      <c r="C80" s="1">
        <v>-596</v>
      </c>
      <c r="D80" s="1">
        <v>-634</v>
      </c>
      <c r="E80" s="1">
        <v>-755</v>
      </c>
      <c r="F80" s="1">
        <v>-819</v>
      </c>
      <c r="G80" s="1">
        <v>-953</v>
      </c>
      <c r="H80" s="1">
        <v>-1057</v>
      </c>
      <c r="I80" s="1">
        <v>-1420</v>
      </c>
      <c r="J80" s="1">
        <v>-1359</v>
      </c>
      <c r="K80" s="1">
        <v>-712</v>
      </c>
      <c r="L80" s="1">
        <v>-1092</v>
      </c>
      <c r="M80" s="1">
        <v>-1092</v>
      </c>
      <c r="N80" t="s">
        <v>141</v>
      </c>
      <c r="O80" t="s">
        <v>140</v>
      </c>
      <c r="P80" t="s">
        <v>140</v>
      </c>
      <c r="Q80" t="s">
        <v>140</v>
      </c>
      <c r="R80" t="s">
        <v>140</v>
      </c>
      <c r="S80" t="s">
        <v>140</v>
      </c>
      <c r="T80" t="s">
        <v>140</v>
      </c>
      <c r="U80" t="s">
        <v>140</v>
      </c>
      <c r="V80" t="s">
        <v>140</v>
      </c>
      <c r="W80" t="s">
        <v>140</v>
      </c>
      <c r="X80" t="s">
        <v>140</v>
      </c>
      <c r="Y80" t="s">
        <v>140</v>
      </c>
      <c r="Z80" t="s">
        <v>140</v>
      </c>
      <c r="AA80" t="s">
        <v>140</v>
      </c>
      <c r="AB80" t="s">
        <v>140</v>
      </c>
      <c r="AC80" t="s">
        <v>140</v>
      </c>
      <c r="AD80" t="s">
        <v>140</v>
      </c>
      <c r="AE80" t="s">
        <v>140</v>
      </c>
      <c r="AF80" t="s">
        <v>140</v>
      </c>
      <c r="AG80" t="s">
        <v>140</v>
      </c>
      <c r="AH80" t="s">
        <v>140</v>
      </c>
      <c r="AI80" t="s">
        <v>140</v>
      </c>
      <c r="AJ80" t="s">
        <v>140</v>
      </c>
      <c r="AK80" t="s">
        <v>140</v>
      </c>
      <c r="AL80" t="s">
        <v>140</v>
      </c>
      <c r="AM80" t="s">
        <v>140</v>
      </c>
      <c r="AN80" t="s">
        <v>140</v>
      </c>
      <c r="AO80" t="s">
        <v>140</v>
      </c>
      <c r="AP80" t="s">
        <v>140</v>
      </c>
      <c r="AQ80" t="s">
        <v>140</v>
      </c>
      <c r="AR80" t="s">
        <v>140</v>
      </c>
      <c r="AS80" t="s">
        <v>140</v>
      </c>
      <c r="AT80" t="s">
        <v>140</v>
      </c>
      <c r="AU80" t="s">
        <v>140</v>
      </c>
      <c r="AV80" t="s">
        <v>140</v>
      </c>
      <c r="AW80" t="s">
        <v>140</v>
      </c>
      <c r="AX80" t="s">
        <v>140</v>
      </c>
      <c r="AY80" t="s">
        <v>140</v>
      </c>
      <c r="AZ80" t="s">
        <v>140</v>
      </c>
      <c r="BA80" t="s">
        <v>140</v>
      </c>
      <c r="BB80" t="s">
        <v>140</v>
      </c>
      <c r="BC80" t="s">
        <v>140</v>
      </c>
      <c r="BD80" t="s">
        <v>140</v>
      </c>
      <c r="BE80" t="s">
        <v>140</v>
      </c>
      <c r="BF80" t="s">
        <v>140</v>
      </c>
      <c r="BG80" t="s">
        <v>140</v>
      </c>
      <c r="BH80" t="s">
        <v>140</v>
      </c>
      <c r="BI80" t="s">
        <v>140</v>
      </c>
      <c r="BJ80" t="s">
        <v>140</v>
      </c>
      <c r="BK80" t="s">
        <v>140</v>
      </c>
      <c r="BL80" t="s">
        <v>140</v>
      </c>
      <c r="BM80" t="s">
        <v>140</v>
      </c>
      <c r="BN80" t="s">
        <v>140</v>
      </c>
      <c r="BO80" t="s">
        <v>140</v>
      </c>
      <c r="BP80" t="s">
        <v>140</v>
      </c>
      <c r="BQ80" t="s">
        <v>140</v>
      </c>
      <c r="BR80" t="s">
        <v>140</v>
      </c>
      <c r="BS80" t="s">
        <v>140</v>
      </c>
      <c r="BT80" t="s">
        <v>140</v>
      </c>
      <c r="BU80" t="s">
        <v>140</v>
      </c>
      <c r="BV80" t="s">
        <v>140</v>
      </c>
      <c r="BW80" t="s">
        <v>140</v>
      </c>
      <c r="BX80" t="s">
        <v>140</v>
      </c>
      <c r="BY80" t="s">
        <v>140</v>
      </c>
      <c r="BZ80" t="s">
        <v>140</v>
      </c>
      <c r="CA80" t="s">
        <v>140</v>
      </c>
      <c r="CB80" t="s">
        <v>140</v>
      </c>
      <c r="CC80" t="s">
        <v>140</v>
      </c>
      <c r="CD80" t="s">
        <v>140</v>
      </c>
      <c r="CE80" t="s">
        <v>140</v>
      </c>
      <c r="CF80" t="s">
        <v>140</v>
      </c>
      <c r="CG80" t="s">
        <v>140</v>
      </c>
      <c r="CH80" t="s">
        <v>140</v>
      </c>
      <c r="CI80" t="s">
        <v>140</v>
      </c>
      <c r="CJ80" t="s">
        <v>140</v>
      </c>
      <c r="CK80" t="s">
        <v>140</v>
      </c>
      <c r="CL80" t="s">
        <v>140</v>
      </c>
      <c r="CM80" t="s">
        <v>140</v>
      </c>
      <c r="CN80" t="s">
        <v>140</v>
      </c>
      <c r="CO80" t="s">
        <v>140</v>
      </c>
      <c r="CP80" t="s">
        <v>140</v>
      </c>
      <c r="CQ80" t="s">
        <v>140</v>
      </c>
      <c r="CR80" t="s">
        <v>140</v>
      </c>
      <c r="CS80" t="s">
        <v>140</v>
      </c>
      <c r="CT80" t="s">
        <v>140</v>
      </c>
      <c r="CU80" t="s">
        <v>140</v>
      </c>
      <c r="CV80" t="s">
        <v>140</v>
      </c>
      <c r="CW80" t="s">
        <v>140</v>
      </c>
      <c r="CX80" t="s">
        <v>140</v>
      </c>
      <c r="CY80" t="s">
        <v>140</v>
      </c>
      <c r="CZ80" t="s">
        <v>140</v>
      </c>
      <c r="DA80" t="s">
        <v>140</v>
      </c>
      <c r="DB80" t="s">
        <v>140</v>
      </c>
      <c r="DC80" s="1">
        <v>0</v>
      </c>
      <c r="DD80" s="1">
        <v>0</v>
      </c>
      <c r="DE80" s="1">
        <v>0</v>
      </c>
      <c r="DF80" s="1">
        <v>0</v>
      </c>
      <c r="DG80" s="1">
        <v>-871</v>
      </c>
      <c r="DH80" s="1">
        <v>413</v>
      </c>
      <c r="DI80" s="1">
        <v>-236</v>
      </c>
      <c r="DJ80" s="1">
        <v>-267</v>
      </c>
      <c r="DK80" s="1">
        <v>-288</v>
      </c>
      <c r="DL80" s="1">
        <v>-308</v>
      </c>
      <c r="DM80" s="1">
        <v>-317</v>
      </c>
      <c r="DN80" s="1">
        <v>-317</v>
      </c>
      <c r="DO80" s="1">
        <v>-368</v>
      </c>
      <c r="DP80" s="1">
        <v>-387</v>
      </c>
      <c r="DQ80" s="1">
        <v>-411</v>
      </c>
      <c r="DR80" s="1">
        <v>-408</v>
      </c>
      <c r="DS80" s="1">
        <v>-466</v>
      </c>
      <c r="DT80" s="1">
        <v>-487</v>
      </c>
      <c r="DU80" s="1">
        <v>-517</v>
      </c>
      <c r="DV80" s="1">
        <v>-540</v>
      </c>
      <c r="DW80" s="1">
        <v>-589</v>
      </c>
      <c r="DX80" s="1">
        <v>-831</v>
      </c>
      <c r="DY80" s="1">
        <v>-732</v>
      </c>
      <c r="DZ80" s="1">
        <v>-627</v>
      </c>
      <c r="EA80" s="1">
        <v>-677</v>
      </c>
      <c r="EB80" s="1">
        <v>-35</v>
      </c>
      <c r="EC80" s="1">
        <v>-533</v>
      </c>
      <c r="ED80" s="1">
        <v>-559</v>
      </c>
    </row>
    <row r="81" spans="1:134" x14ac:dyDescent="0.25">
      <c r="A81" t="s">
        <v>200</v>
      </c>
      <c r="B81" s="1">
        <v>3.19</v>
      </c>
      <c r="C81" s="1">
        <v>5.84</v>
      </c>
      <c r="D81" s="1">
        <v>2.92</v>
      </c>
      <c r="E81" s="1">
        <v>4.18</v>
      </c>
      <c r="F81" s="1">
        <v>2.92</v>
      </c>
      <c r="G81" s="1">
        <v>5.51</v>
      </c>
      <c r="H81" s="1">
        <v>5.57</v>
      </c>
      <c r="I81" s="1">
        <v>2.87</v>
      </c>
      <c r="J81" s="1">
        <v>6.23</v>
      </c>
      <c r="K81" s="1">
        <v>-4.29</v>
      </c>
      <c r="L81" s="1">
        <v>59.22</v>
      </c>
      <c r="M81" s="1">
        <v>59.219999999999992</v>
      </c>
      <c r="N81" t="s">
        <v>141</v>
      </c>
      <c r="O81" t="s">
        <v>140</v>
      </c>
      <c r="P81" t="s">
        <v>140</v>
      </c>
      <c r="Q81" t="s">
        <v>140</v>
      </c>
      <c r="R81" t="s">
        <v>140</v>
      </c>
      <c r="S81" t="s">
        <v>140</v>
      </c>
      <c r="T81" t="s">
        <v>140</v>
      </c>
      <c r="U81" t="s">
        <v>140</v>
      </c>
      <c r="V81" t="s">
        <v>140</v>
      </c>
      <c r="W81" t="s">
        <v>140</v>
      </c>
      <c r="X81" t="s">
        <v>140</v>
      </c>
      <c r="Y81" t="s">
        <v>140</v>
      </c>
      <c r="Z81" t="s">
        <v>140</v>
      </c>
      <c r="AA81" t="s">
        <v>140</v>
      </c>
      <c r="AB81" t="s">
        <v>140</v>
      </c>
      <c r="AC81" t="s">
        <v>140</v>
      </c>
      <c r="AD81" t="s">
        <v>140</v>
      </c>
      <c r="AE81" t="s">
        <v>140</v>
      </c>
      <c r="AF81" t="s">
        <v>140</v>
      </c>
      <c r="AG81" t="s">
        <v>140</v>
      </c>
      <c r="AH81" t="s">
        <v>140</v>
      </c>
      <c r="AI81" t="s">
        <v>140</v>
      </c>
      <c r="AJ81" t="s">
        <v>140</v>
      </c>
      <c r="AK81" t="s">
        <v>140</v>
      </c>
      <c r="AL81" t="s">
        <v>140</v>
      </c>
      <c r="AM81" t="s">
        <v>140</v>
      </c>
      <c r="AN81" t="s">
        <v>140</v>
      </c>
      <c r="AO81" t="s">
        <v>140</v>
      </c>
      <c r="AP81" t="s">
        <v>140</v>
      </c>
      <c r="AQ81" t="s">
        <v>140</v>
      </c>
      <c r="AR81" t="s">
        <v>140</v>
      </c>
      <c r="AS81" t="s">
        <v>140</v>
      </c>
      <c r="AT81" t="s">
        <v>140</v>
      </c>
      <c r="AU81" t="s">
        <v>140</v>
      </c>
      <c r="AV81" t="s">
        <v>140</v>
      </c>
      <c r="AW81" t="s">
        <v>140</v>
      </c>
      <c r="AX81" t="s">
        <v>140</v>
      </c>
      <c r="AY81" t="s">
        <v>140</v>
      </c>
      <c r="AZ81" t="s">
        <v>140</v>
      </c>
      <c r="BA81" t="s">
        <v>140</v>
      </c>
      <c r="BB81" t="s">
        <v>140</v>
      </c>
      <c r="BC81" t="s">
        <v>140</v>
      </c>
      <c r="BD81" t="s">
        <v>140</v>
      </c>
      <c r="BE81" t="s">
        <v>140</v>
      </c>
      <c r="BF81" t="s">
        <v>140</v>
      </c>
      <c r="BG81" t="s">
        <v>140</v>
      </c>
      <c r="BH81" t="s">
        <v>140</v>
      </c>
      <c r="BI81" t="s">
        <v>140</v>
      </c>
      <c r="BJ81" t="s">
        <v>140</v>
      </c>
      <c r="BK81" t="s">
        <v>140</v>
      </c>
      <c r="BL81" t="s">
        <v>140</v>
      </c>
      <c r="BM81" t="s">
        <v>140</v>
      </c>
      <c r="BN81" t="s">
        <v>140</v>
      </c>
      <c r="BO81" t="s">
        <v>140</v>
      </c>
      <c r="BP81" t="s">
        <v>140</v>
      </c>
      <c r="BQ81" t="s">
        <v>140</v>
      </c>
      <c r="BR81" t="s">
        <v>140</v>
      </c>
      <c r="BS81" t="s">
        <v>140</v>
      </c>
      <c r="BT81" t="s">
        <v>140</v>
      </c>
      <c r="BU81" t="s">
        <v>140</v>
      </c>
      <c r="BV81" t="s">
        <v>140</v>
      </c>
      <c r="BW81" t="s">
        <v>140</v>
      </c>
      <c r="BX81" t="s">
        <v>140</v>
      </c>
      <c r="BY81" t="s">
        <v>140</v>
      </c>
      <c r="BZ81" t="s">
        <v>140</v>
      </c>
      <c r="CA81" t="s">
        <v>140</v>
      </c>
      <c r="CB81" t="s">
        <v>140</v>
      </c>
      <c r="CC81" t="s">
        <v>140</v>
      </c>
      <c r="CD81" t="s">
        <v>140</v>
      </c>
      <c r="CE81" t="s">
        <v>140</v>
      </c>
      <c r="CF81" t="s">
        <v>140</v>
      </c>
      <c r="CG81" t="s">
        <v>140</v>
      </c>
      <c r="CH81" t="s">
        <v>140</v>
      </c>
      <c r="CI81" t="s">
        <v>140</v>
      </c>
      <c r="CJ81" t="s">
        <v>140</v>
      </c>
      <c r="CK81" t="s">
        <v>140</v>
      </c>
      <c r="CL81" t="s">
        <v>140</v>
      </c>
      <c r="CM81" t="s">
        <v>140</v>
      </c>
      <c r="CN81" t="s">
        <v>140</v>
      </c>
      <c r="CO81" t="s">
        <v>140</v>
      </c>
      <c r="CP81" t="s">
        <v>140</v>
      </c>
      <c r="CQ81" t="s">
        <v>140</v>
      </c>
      <c r="CR81" t="s">
        <v>140</v>
      </c>
      <c r="CS81" t="s">
        <v>140</v>
      </c>
      <c r="CT81" t="s">
        <v>140</v>
      </c>
      <c r="CU81" t="s">
        <v>140</v>
      </c>
      <c r="CV81" t="s">
        <v>140</v>
      </c>
      <c r="CW81" t="s">
        <v>140</v>
      </c>
      <c r="CX81" t="s">
        <v>140</v>
      </c>
      <c r="CY81" t="s">
        <v>140</v>
      </c>
      <c r="CZ81" t="s">
        <v>140</v>
      </c>
      <c r="DA81" t="s">
        <v>140</v>
      </c>
      <c r="DB81" t="s">
        <v>140</v>
      </c>
      <c r="DC81" s="1">
        <v>0</v>
      </c>
      <c r="DD81" s="1">
        <v>0</v>
      </c>
      <c r="DE81" s="1">
        <v>0</v>
      </c>
      <c r="DF81" s="1">
        <v>0</v>
      </c>
      <c r="DG81" s="1">
        <v>16.59</v>
      </c>
      <c r="DH81" s="1">
        <v>-5.74</v>
      </c>
      <c r="DI81" s="1">
        <v>5.05</v>
      </c>
      <c r="DJ81" s="1">
        <v>2.4</v>
      </c>
      <c r="DK81" s="1">
        <v>5.78</v>
      </c>
      <c r="DL81" s="1">
        <v>5.9</v>
      </c>
      <c r="DM81" s="1">
        <v>3.63</v>
      </c>
      <c r="DN81" s="1">
        <v>2.4500000000000002</v>
      </c>
      <c r="DO81" s="1">
        <v>4.9400000000000004</v>
      </c>
      <c r="DP81" s="1">
        <v>3.65</v>
      </c>
      <c r="DQ81" s="1">
        <v>2.36</v>
      </c>
      <c r="DR81" s="1">
        <v>3.85</v>
      </c>
      <c r="DS81" s="1">
        <v>5.48</v>
      </c>
      <c r="DT81" s="1">
        <v>5.54</v>
      </c>
      <c r="DU81" s="1">
        <v>7.86</v>
      </c>
      <c r="DV81" s="1">
        <v>4.3600000000000003</v>
      </c>
      <c r="DW81" s="1">
        <v>4.63</v>
      </c>
      <c r="DX81" s="1">
        <v>2.27</v>
      </c>
      <c r="DY81" s="1">
        <v>7.27</v>
      </c>
      <c r="DZ81" s="1">
        <v>5.34</v>
      </c>
      <c r="EA81" s="1">
        <v>9.16</v>
      </c>
      <c r="EB81" s="1">
        <v>-0.15</v>
      </c>
      <c r="EC81" s="1">
        <v>-14.06</v>
      </c>
      <c r="ED81" s="1">
        <v>9.92</v>
      </c>
    </row>
    <row r="82" spans="1:134" x14ac:dyDescent="0.25">
      <c r="A82" t="s">
        <v>201</v>
      </c>
      <c r="B82" s="1">
        <v>15280</v>
      </c>
      <c r="C82" s="1">
        <v>9602</v>
      </c>
      <c r="D82" s="1">
        <v>21062</v>
      </c>
      <c r="E82" s="1">
        <v>17305</v>
      </c>
      <c r="F82" s="1">
        <v>27230</v>
      </c>
      <c r="G82" s="1">
        <v>16349</v>
      </c>
      <c r="H82" s="1">
        <v>17913</v>
      </c>
      <c r="I82" s="1">
        <v>47979</v>
      </c>
      <c r="J82" s="1">
        <v>20442</v>
      </c>
      <c r="K82" s="1">
        <v>-17303</v>
      </c>
      <c r="L82" s="1">
        <v>752</v>
      </c>
      <c r="M82" s="1">
        <v>752</v>
      </c>
      <c r="N82" t="s">
        <v>141</v>
      </c>
      <c r="O82" t="s">
        <v>140</v>
      </c>
      <c r="P82" t="s">
        <v>140</v>
      </c>
      <c r="Q82" t="s">
        <v>140</v>
      </c>
      <c r="R82" t="s">
        <v>140</v>
      </c>
      <c r="S82" t="s">
        <v>140</v>
      </c>
      <c r="T82" t="s">
        <v>140</v>
      </c>
      <c r="U82" t="s">
        <v>140</v>
      </c>
      <c r="V82" t="s">
        <v>140</v>
      </c>
      <c r="W82" t="s">
        <v>140</v>
      </c>
      <c r="X82" t="s">
        <v>140</v>
      </c>
      <c r="Y82" t="s">
        <v>140</v>
      </c>
      <c r="Z82" t="s">
        <v>140</v>
      </c>
      <c r="AA82" t="s">
        <v>140</v>
      </c>
      <c r="AB82" t="s">
        <v>140</v>
      </c>
      <c r="AC82" t="s">
        <v>140</v>
      </c>
      <c r="AD82" t="s">
        <v>140</v>
      </c>
      <c r="AE82" t="s">
        <v>140</v>
      </c>
      <c r="AF82" t="s">
        <v>140</v>
      </c>
      <c r="AG82" t="s">
        <v>140</v>
      </c>
      <c r="AH82" t="s">
        <v>140</v>
      </c>
      <c r="AI82" t="s">
        <v>140</v>
      </c>
      <c r="AJ82" t="s">
        <v>140</v>
      </c>
      <c r="AK82" t="s">
        <v>140</v>
      </c>
      <c r="AL82" t="s">
        <v>140</v>
      </c>
      <c r="AM82" t="s">
        <v>140</v>
      </c>
      <c r="AN82" t="s">
        <v>140</v>
      </c>
      <c r="AO82" t="s">
        <v>140</v>
      </c>
      <c r="AP82" t="s">
        <v>140</v>
      </c>
      <c r="AQ82" t="s">
        <v>140</v>
      </c>
      <c r="AR82" t="s">
        <v>140</v>
      </c>
      <c r="AS82" t="s">
        <v>140</v>
      </c>
      <c r="AT82" t="s">
        <v>140</v>
      </c>
      <c r="AU82" t="s">
        <v>140</v>
      </c>
      <c r="AV82" t="s">
        <v>140</v>
      </c>
      <c r="AW82" t="s">
        <v>140</v>
      </c>
      <c r="AX82" t="s">
        <v>140</v>
      </c>
      <c r="AY82" t="s">
        <v>140</v>
      </c>
      <c r="AZ82" t="s">
        <v>140</v>
      </c>
      <c r="BA82" t="s">
        <v>140</v>
      </c>
      <c r="BB82" t="s">
        <v>140</v>
      </c>
      <c r="BC82" t="s">
        <v>140</v>
      </c>
      <c r="BD82" t="s">
        <v>140</v>
      </c>
      <c r="BE82" t="s">
        <v>140</v>
      </c>
      <c r="BF82" t="s">
        <v>140</v>
      </c>
      <c r="BG82" t="s">
        <v>140</v>
      </c>
      <c r="BH82" t="s">
        <v>140</v>
      </c>
      <c r="BI82" t="s">
        <v>140</v>
      </c>
      <c r="BJ82" t="s">
        <v>140</v>
      </c>
      <c r="BK82" t="s">
        <v>140</v>
      </c>
      <c r="BL82" t="s">
        <v>140</v>
      </c>
      <c r="BM82" t="s">
        <v>140</v>
      </c>
      <c r="BN82" t="s">
        <v>140</v>
      </c>
      <c r="BO82" t="s">
        <v>140</v>
      </c>
      <c r="BP82" t="s">
        <v>140</v>
      </c>
      <c r="BQ82" t="s">
        <v>140</v>
      </c>
      <c r="BR82" t="s">
        <v>140</v>
      </c>
      <c r="BS82" t="s">
        <v>140</v>
      </c>
      <c r="BT82" t="s">
        <v>140</v>
      </c>
      <c r="BU82" t="s">
        <v>140</v>
      </c>
      <c r="BV82" t="s">
        <v>140</v>
      </c>
      <c r="BW82" t="s">
        <v>140</v>
      </c>
      <c r="BX82" t="s">
        <v>140</v>
      </c>
      <c r="BY82" t="s">
        <v>140</v>
      </c>
      <c r="BZ82" t="s">
        <v>140</v>
      </c>
      <c r="CA82" t="s">
        <v>140</v>
      </c>
      <c r="CB82" t="s">
        <v>140</v>
      </c>
      <c r="CC82" t="s">
        <v>140</v>
      </c>
      <c r="CD82" t="s">
        <v>140</v>
      </c>
      <c r="CE82" t="s">
        <v>140</v>
      </c>
      <c r="CF82" t="s">
        <v>140</v>
      </c>
      <c r="CG82" t="s">
        <v>140</v>
      </c>
      <c r="CH82" t="s">
        <v>140</v>
      </c>
      <c r="CI82" t="s">
        <v>140</v>
      </c>
      <c r="CJ82" t="s">
        <v>140</v>
      </c>
      <c r="CK82" t="s">
        <v>140</v>
      </c>
      <c r="CL82" t="s">
        <v>140</v>
      </c>
      <c r="CM82" t="s">
        <v>140</v>
      </c>
      <c r="CN82" t="s">
        <v>140</v>
      </c>
      <c r="CO82" t="s">
        <v>140</v>
      </c>
      <c r="CP82" t="s">
        <v>140</v>
      </c>
      <c r="CQ82" t="s">
        <v>140</v>
      </c>
      <c r="CR82" t="s">
        <v>140</v>
      </c>
      <c r="CS82" t="s">
        <v>140</v>
      </c>
      <c r="CT82" t="s">
        <v>140</v>
      </c>
      <c r="CU82" t="s">
        <v>140</v>
      </c>
      <c r="CV82" t="s">
        <v>140</v>
      </c>
      <c r="CW82" t="s">
        <v>140</v>
      </c>
      <c r="CX82" t="s">
        <v>140</v>
      </c>
      <c r="CY82" t="s">
        <v>140</v>
      </c>
      <c r="CZ82" t="s">
        <v>140</v>
      </c>
      <c r="DA82" t="s">
        <v>140</v>
      </c>
      <c r="DB82" t="s">
        <v>140</v>
      </c>
      <c r="DC82" s="1">
        <v>0</v>
      </c>
      <c r="DD82" s="1">
        <v>0</v>
      </c>
      <c r="DE82" s="1">
        <v>0</v>
      </c>
      <c r="DF82" s="1">
        <v>0</v>
      </c>
      <c r="DG82" s="1">
        <v>4380</v>
      </c>
      <c r="DH82" s="1">
        <v>7602</v>
      </c>
      <c r="DI82" s="1">
        <v>4438</v>
      </c>
      <c r="DJ82" s="1">
        <v>10842</v>
      </c>
      <c r="DK82" s="1">
        <v>4692</v>
      </c>
      <c r="DL82" s="1">
        <v>4910</v>
      </c>
      <c r="DM82" s="1">
        <v>8416</v>
      </c>
      <c r="DN82" s="1">
        <v>12646</v>
      </c>
      <c r="DO82" s="1">
        <v>7075</v>
      </c>
      <c r="DP82" s="1">
        <v>10230</v>
      </c>
      <c r="DQ82" s="1">
        <v>17032</v>
      </c>
      <c r="DR82" s="1">
        <v>10198</v>
      </c>
      <c r="DS82" s="1">
        <v>8040</v>
      </c>
      <c r="DT82" s="1">
        <v>8309</v>
      </c>
      <c r="DU82" s="1">
        <v>6057</v>
      </c>
      <c r="DV82" s="1">
        <v>11856</v>
      </c>
      <c r="DW82" s="1">
        <v>12139</v>
      </c>
      <c r="DX82" s="1">
        <v>35840</v>
      </c>
      <c r="DY82" s="1">
        <v>9335</v>
      </c>
      <c r="DZ82" s="1">
        <v>11107</v>
      </c>
      <c r="EA82" s="1">
        <v>6717</v>
      </c>
      <c r="EB82" s="1">
        <v>-24020</v>
      </c>
      <c r="EC82" s="1">
        <v>-4325</v>
      </c>
      <c r="ED82" s="1">
        <v>5077</v>
      </c>
    </row>
    <row r="83" spans="1:134" x14ac:dyDescent="0.25">
      <c r="A83" t="s">
        <v>202</v>
      </c>
      <c r="B83" s="1">
        <v>0</v>
      </c>
      <c r="C83" s="1">
        <v>0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  <c r="M83" s="1">
        <v>0</v>
      </c>
      <c r="N83" t="s">
        <v>141</v>
      </c>
      <c r="O83" t="s">
        <v>140</v>
      </c>
      <c r="P83" t="s">
        <v>140</v>
      </c>
      <c r="Q83" t="s">
        <v>140</v>
      </c>
      <c r="R83" t="s">
        <v>140</v>
      </c>
      <c r="S83" t="s">
        <v>140</v>
      </c>
      <c r="T83" t="s">
        <v>140</v>
      </c>
      <c r="U83" t="s">
        <v>140</v>
      </c>
      <c r="V83" t="s">
        <v>140</v>
      </c>
      <c r="W83" t="s">
        <v>140</v>
      </c>
      <c r="X83" t="s">
        <v>140</v>
      </c>
      <c r="Y83" t="s">
        <v>140</v>
      </c>
      <c r="Z83" t="s">
        <v>140</v>
      </c>
      <c r="AA83" t="s">
        <v>140</v>
      </c>
      <c r="AB83" t="s">
        <v>140</v>
      </c>
      <c r="AC83" t="s">
        <v>140</v>
      </c>
      <c r="AD83" t="s">
        <v>140</v>
      </c>
      <c r="AE83" t="s">
        <v>140</v>
      </c>
      <c r="AF83" t="s">
        <v>140</v>
      </c>
      <c r="AG83" t="s">
        <v>140</v>
      </c>
      <c r="AH83" t="s">
        <v>140</v>
      </c>
      <c r="AI83" t="s">
        <v>140</v>
      </c>
      <c r="AJ83" t="s">
        <v>140</v>
      </c>
      <c r="AK83" t="s">
        <v>140</v>
      </c>
      <c r="AL83" t="s">
        <v>140</v>
      </c>
      <c r="AM83" t="s">
        <v>140</v>
      </c>
      <c r="AN83" t="s">
        <v>140</v>
      </c>
      <c r="AO83" t="s">
        <v>140</v>
      </c>
      <c r="AP83" t="s">
        <v>140</v>
      </c>
      <c r="AQ83" t="s">
        <v>140</v>
      </c>
      <c r="AR83" t="s">
        <v>140</v>
      </c>
      <c r="AS83" t="s">
        <v>140</v>
      </c>
      <c r="AT83" t="s">
        <v>140</v>
      </c>
      <c r="AU83" t="s">
        <v>140</v>
      </c>
      <c r="AV83" t="s">
        <v>140</v>
      </c>
      <c r="AW83" t="s">
        <v>140</v>
      </c>
      <c r="AX83" t="s">
        <v>140</v>
      </c>
      <c r="AY83" t="s">
        <v>140</v>
      </c>
      <c r="AZ83" t="s">
        <v>140</v>
      </c>
      <c r="BA83" t="s">
        <v>140</v>
      </c>
      <c r="BB83" t="s">
        <v>140</v>
      </c>
      <c r="BC83" t="s">
        <v>140</v>
      </c>
      <c r="BD83" t="s">
        <v>140</v>
      </c>
      <c r="BE83" t="s">
        <v>140</v>
      </c>
      <c r="BF83" t="s">
        <v>140</v>
      </c>
      <c r="BG83" t="s">
        <v>140</v>
      </c>
      <c r="BH83" t="s">
        <v>140</v>
      </c>
      <c r="BI83" t="s">
        <v>140</v>
      </c>
      <c r="BJ83" t="s">
        <v>140</v>
      </c>
      <c r="BK83" t="s">
        <v>140</v>
      </c>
      <c r="BL83" t="s">
        <v>140</v>
      </c>
      <c r="BM83" t="s">
        <v>140</v>
      </c>
      <c r="BN83" t="s">
        <v>140</v>
      </c>
      <c r="BO83" t="s">
        <v>140</v>
      </c>
      <c r="BP83" t="s">
        <v>140</v>
      </c>
      <c r="BQ83" t="s">
        <v>140</v>
      </c>
      <c r="BR83" t="s">
        <v>140</v>
      </c>
      <c r="BS83" t="s">
        <v>140</v>
      </c>
      <c r="BT83" t="s">
        <v>140</v>
      </c>
      <c r="BU83" t="s">
        <v>140</v>
      </c>
      <c r="BV83" t="s">
        <v>140</v>
      </c>
      <c r="BW83" t="s">
        <v>140</v>
      </c>
      <c r="BX83" t="s">
        <v>140</v>
      </c>
      <c r="BY83" t="s">
        <v>140</v>
      </c>
      <c r="BZ83" t="s">
        <v>140</v>
      </c>
      <c r="CA83" t="s">
        <v>140</v>
      </c>
      <c r="CB83" t="s">
        <v>140</v>
      </c>
      <c r="CC83" t="s">
        <v>140</v>
      </c>
      <c r="CD83" t="s">
        <v>140</v>
      </c>
      <c r="CE83" t="s">
        <v>140</v>
      </c>
      <c r="CF83" t="s">
        <v>140</v>
      </c>
      <c r="CG83" t="s">
        <v>140</v>
      </c>
      <c r="CH83" t="s">
        <v>140</v>
      </c>
      <c r="CI83" t="s">
        <v>140</v>
      </c>
      <c r="CJ83" t="s">
        <v>140</v>
      </c>
      <c r="CK83" t="s">
        <v>140</v>
      </c>
      <c r="CL83" t="s">
        <v>140</v>
      </c>
      <c r="CM83" t="s">
        <v>140</v>
      </c>
      <c r="CN83" t="s">
        <v>140</v>
      </c>
      <c r="CO83" t="s">
        <v>140</v>
      </c>
      <c r="CP83" t="s">
        <v>140</v>
      </c>
      <c r="CQ83" t="s">
        <v>140</v>
      </c>
      <c r="CR83" t="s">
        <v>140</v>
      </c>
      <c r="CS83" t="s">
        <v>140</v>
      </c>
      <c r="CT83" t="s">
        <v>140</v>
      </c>
      <c r="CU83" t="s">
        <v>140</v>
      </c>
      <c r="CV83" t="s">
        <v>140</v>
      </c>
      <c r="CW83" t="s">
        <v>140</v>
      </c>
      <c r="CX83" t="s">
        <v>140</v>
      </c>
      <c r="CY83" t="s">
        <v>140</v>
      </c>
      <c r="CZ83" t="s">
        <v>140</v>
      </c>
      <c r="DA83" t="s">
        <v>140</v>
      </c>
      <c r="DB83" t="s">
        <v>140</v>
      </c>
      <c r="DC83" s="1">
        <v>0</v>
      </c>
      <c r="DD83" s="1">
        <v>0</v>
      </c>
      <c r="DE83" s="1">
        <v>0</v>
      </c>
      <c r="DF83" s="1">
        <v>0</v>
      </c>
      <c r="DG83" s="1">
        <v>0</v>
      </c>
      <c r="DH83" s="1">
        <v>0</v>
      </c>
      <c r="DI83" s="1">
        <v>0</v>
      </c>
      <c r="DJ83" s="1">
        <v>0</v>
      </c>
      <c r="DK83" s="1">
        <v>0</v>
      </c>
      <c r="DL83" s="1">
        <v>0</v>
      </c>
      <c r="DM83" s="1">
        <v>0</v>
      </c>
      <c r="DN83" s="1">
        <v>0</v>
      </c>
      <c r="DO83" s="1">
        <v>0</v>
      </c>
      <c r="DP83" s="1">
        <v>0</v>
      </c>
      <c r="DQ83" s="1">
        <v>0</v>
      </c>
      <c r="DR83" s="1">
        <v>0</v>
      </c>
      <c r="DS83" s="1">
        <v>0</v>
      </c>
      <c r="DT83" s="1">
        <v>0</v>
      </c>
      <c r="DU83" s="1">
        <v>0</v>
      </c>
      <c r="DV83" s="1">
        <v>0</v>
      </c>
      <c r="DW83" s="1">
        <v>0</v>
      </c>
      <c r="DX83" s="1">
        <v>0</v>
      </c>
      <c r="DY83" s="1">
        <v>0</v>
      </c>
      <c r="DZ83" s="1">
        <v>0</v>
      </c>
      <c r="EA83" s="1">
        <v>0</v>
      </c>
      <c r="EB83" s="1">
        <v>0</v>
      </c>
      <c r="EC83" s="1">
        <v>0</v>
      </c>
      <c r="ED83" s="1">
        <v>0</v>
      </c>
    </row>
    <row r="84" spans="1:134" x14ac:dyDescent="0.25">
      <c r="A84" t="s">
        <v>203</v>
      </c>
      <c r="B84" s="1">
        <v>0</v>
      </c>
      <c r="C84" s="1">
        <v>0</v>
      </c>
      <c r="D84" s="1">
        <v>0</v>
      </c>
      <c r="E84" s="1">
        <v>0</v>
      </c>
      <c r="F84" s="1">
        <v>0</v>
      </c>
      <c r="G84" s="1">
        <v>-54</v>
      </c>
      <c r="H84" s="1">
        <v>-202</v>
      </c>
      <c r="I84" s="1">
        <v>-218</v>
      </c>
      <c r="J84" s="1">
        <v>-113</v>
      </c>
      <c r="K84" s="1">
        <v>181</v>
      </c>
      <c r="L84" s="1">
        <v>433</v>
      </c>
      <c r="M84" s="1">
        <v>433</v>
      </c>
      <c r="N84" t="s">
        <v>141</v>
      </c>
      <c r="O84" t="s">
        <v>140</v>
      </c>
      <c r="P84" t="s">
        <v>140</v>
      </c>
      <c r="Q84" t="s">
        <v>140</v>
      </c>
      <c r="R84" t="s">
        <v>140</v>
      </c>
      <c r="S84" t="s">
        <v>140</v>
      </c>
      <c r="T84" t="s">
        <v>140</v>
      </c>
      <c r="U84" t="s">
        <v>140</v>
      </c>
      <c r="V84" t="s">
        <v>140</v>
      </c>
      <c r="W84" t="s">
        <v>140</v>
      </c>
      <c r="X84" t="s">
        <v>140</v>
      </c>
      <c r="Y84" t="s">
        <v>140</v>
      </c>
      <c r="Z84" t="s">
        <v>140</v>
      </c>
      <c r="AA84" t="s">
        <v>140</v>
      </c>
      <c r="AB84" t="s">
        <v>140</v>
      </c>
      <c r="AC84" t="s">
        <v>140</v>
      </c>
      <c r="AD84" t="s">
        <v>140</v>
      </c>
      <c r="AE84" t="s">
        <v>140</v>
      </c>
      <c r="AF84" t="s">
        <v>140</v>
      </c>
      <c r="AG84" t="s">
        <v>140</v>
      </c>
      <c r="AH84" t="s">
        <v>140</v>
      </c>
      <c r="AI84" t="s">
        <v>140</v>
      </c>
      <c r="AJ84" t="s">
        <v>140</v>
      </c>
      <c r="AK84" t="s">
        <v>140</v>
      </c>
      <c r="AL84" t="s">
        <v>140</v>
      </c>
      <c r="AM84" t="s">
        <v>140</v>
      </c>
      <c r="AN84" t="s">
        <v>140</v>
      </c>
      <c r="AO84" t="s">
        <v>140</v>
      </c>
      <c r="AP84" t="s">
        <v>140</v>
      </c>
      <c r="AQ84" t="s">
        <v>140</v>
      </c>
      <c r="AR84" t="s">
        <v>140</v>
      </c>
      <c r="AS84" t="s">
        <v>140</v>
      </c>
      <c r="AT84" t="s">
        <v>140</v>
      </c>
      <c r="AU84" t="s">
        <v>140</v>
      </c>
      <c r="AV84" t="s">
        <v>140</v>
      </c>
      <c r="AW84" t="s">
        <v>140</v>
      </c>
      <c r="AX84" t="s">
        <v>140</v>
      </c>
      <c r="AY84" t="s">
        <v>140</v>
      </c>
      <c r="AZ84" t="s">
        <v>140</v>
      </c>
      <c r="BA84" t="s">
        <v>140</v>
      </c>
      <c r="BB84" t="s">
        <v>140</v>
      </c>
      <c r="BC84" t="s">
        <v>140</v>
      </c>
      <c r="BD84" t="s">
        <v>140</v>
      </c>
      <c r="BE84" t="s">
        <v>140</v>
      </c>
      <c r="BF84" t="s">
        <v>140</v>
      </c>
      <c r="BG84" t="s">
        <v>140</v>
      </c>
      <c r="BH84" t="s">
        <v>140</v>
      </c>
      <c r="BI84" t="s">
        <v>140</v>
      </c>
      <c r="BJ84" t="s">
        <v>140</v>
      </c>
      <c r="BK84" t="s">
        <v>140</v>
      </c>
      <c r="BL84" t="s">
        <v>140</v>
      </c>
      <c r="BM84" t="s">
        <v>140</v>
      </c>
      <c r="BN84" t="s">
        <v>140</v>
      </c>
      <c r="BO84" t="s">
        <v>140</v>
      </c>
      <c r="BP84" t="s">
        <v>140</v>
      </c>
      <c r="BQ84" t="s">
        <v>140</v>
      </c>
      <c r="BR84" t="s">
        <v>140</v>
      </c>
      <c r="BS84" t="s">
        <v>140</v>
      </c>
      <c r="BT84" t="s">
        <v>140</v>
      </c>
      <c r="BU84" t="s">
        <v>140</v>
      </c>
      <c r="BV84" t="s">
        <v>140</v>
      </c>
      <c r="BW84" t="s">
        <v>140</v>
      </c>
      <c r="BX84" t="s">
        <v>140</v>
      </c>
      <c r="BY84" t="s">
        <v>140</v>
      </c>
      <c r="BZ84" t="s">
        <v>140</v>
      </c>
      <c r="CA84" t="s">
        <v>140</v>
      </c>
      <c r="CB84" t="s">
        <v>140</v>
      </c>
      <c r="CC84" t="s">
        <v>140</v>
      </c>
      <c r="CD84" t="s">
        <v>140</v>
      </c>
      <c r="CE84" t="s">
        <v>140</v>
      </c>
      <c r="CF84" t="s">
        <v>140</v>
      </c>
      <c r="CG84" t="s">
        <v>140</v>
      </c>
      <c r="CH84" t="s">
        <v>140</v>
      </c>
      <c r="CI84" t="s">
        <v>140</v>
      </c>
      <c r="CJ84" t="s">
        <v>140</v>
      </c>
      <c r="CK84" t="s">
        <v>140</v>
      </c>
      <c r="CL84" t="s">
        <v>140</v>
      </c>
      <c r="CM84" t="s">
        <v>140</v>
      </c>
      <c r="CN84" t="s">
        <v>140</v>
      </c>
      <c r="CO84" t="s">
        <v>140</v>
      </c>
      <c r="CP84" t="s">
        <v>140</v>
      </c>
      <c r="CQ84" t="s">
        <v>140</v>
      </c>
      <c r="CR84" t="s">
        <v>140</v>
      </c>
      <c r="CS84" t="s">
        <v>140</v>
      </c>
      <c r="CT84" t="s">
        <v>140</v>
      </c>
      <c r="CU84" t="s">
        <v>140</v>
      </c>
      <c r="CV84" t="s">
        <v>140</v>
      </c>
      <c r="CW84" t="s">
        <v>140</v>
      </c>
      <c r="CX84" t="s">
        <v>140</v>
      </c>
      <c r="CY84" t="s">
        <v>140</v>
      </c>
      <c r="CZ84" t="s">
        <v>140</v>
      </c>
      <c r="DA84" t="s">
        <v>140</v>
      </c>
      <c r="DB84" t="s">
        <v>140</v>
      </c>
      <c r="DC84" s="1">
        <v>0</v>
      </c>
      <c r="DD84" s="1">
        <v>0</v>
      </c>
      <c r="DE84" s="1">
        <v>0</v>
      </c>
      <c r="DF84" s="1">
        <v>0</v>
      </c>
      <c r="DG84" s="1">
        <v>0</v>
      </c>
      <c r="DH84" s="1">
        <v>0</v>
      </c>
      <c r="DI84" s="1">
        <v>0</v>
      </c>
      <c r="DJ84" s="1">
        <v>0</v>
      </c>
      <c r="DK84" s="1">
        <v>0</v>
      </c>
      <c r="DL84" s="1">
        <v>0</v>
      </c>
      <c r="DM84" s="1">
        <v>0</v>
      </c>
      <c r="DN84" s="1">
        <v>0</v>
      </c>
      <c r="DO84" s="1">
        <v>0</v>
      </c>
      <c r="DP84" s="1">
        <v>0</v>
      </c>
      <c r="DQ84" s="1">
        <v>0</v>
      </c>
      <c r="DR84" s="1">
        <v>0</v>
      </c>
      <c r="DS84" s="1">
        <v>-31</v>
      </c>
      <c r="DT84" s="1">
        <v>-23</v>
      </c>
      <c r="DU84" s="1">
        <v>-104</v>
      </c>
      <c r="DV84" s="1">
        <v>-98</v>
      </c>
      <c r="DW84" s="1">
        <v>-7</v>
      </c>
      <c r="DX84" s="1">
        <v>-211</v>
      </c>
      <c r="DY84" s="1">
        <v>-109</v>
      </c>
      <c r="DZ84" s="1">
        <v>-4</v>
      </c>
      <c r="EA84" s="1">
        <v>25</v>
      </c>
      <c r="EB84" s="1">
        <v>156</v>
      </c>
      <c r="EC84" s="1">
        <v>232</v>
      </c>
      <c r="ED84" s="1">
        <v>201</v>
      </c>
    </row>
    <row r="85" spans="1:134" x14ac:dyDescent="0.25">
      <c r="A85" t="s">
        <v>204</v>
      </c>
      <c r="B85" s="1">
        <v>15280</v>
      </c>
      <c r="C85" s="1">
        <v>9602</v>
      </c>
      <c r="D85" s="1">
        <v>21062</v>
      </c>
      <c r="E85" s="1">
        <v>17305</v>
      </c>
      <c r="F85" s="1">
        <v>27230</v>
      </c>
      <c r="G85" s="1">
        <v>16295</v>
      </c>
      <c r="H85" s="1">
        <v>17711</v>
      </c>
      <c r="I85" s="1">
        <v>47761</v>
      </c>
      <c r="J85" s="1">
        <v>20329</v>
      </c>
      <c r="K85" s="1">
        <v>-17122</v>
      </c>
      <c r="L85" s="1">
        <v>1185</v>
      </c>
      <c r="M85" s="1">
        <v>1185</v>
      </c>
      <c r="N85" t="s">
        <v>141</v>
      </c>
      <c r="O85" t="s">
        <v>140</v>
      </c>
      <c r="P85" t="s">
        <v>140</v>
      </c>
      <c r="Q85" t="s">
        <v>140</v>
      </c>
      <c r="R85" t="s">
        <v>140</v>
      </c>
      <c r="S85" t="s">
        <v>140</v>
      </c>
      <c r="T85" t="s">
        <v>140</v>
      </c>
      <c r="U85" t="s">
        <v>140</v>
      </c>
      <c r="V85" t="s">
        <v>140</v>
      </c>
      <c r="W85" t="s">
        <v>140</v>
      </c>
      <c r="X85" t="s">
        <v>140</v>
      </c>
      <c r="Y85" t="s">
        <v>140</v>
      </c>
      <c r="Z85" t="s">
        <v>140</v>
      </c>
      <c r="AA85" t="s">
        <v>140</v>
      </c>
      <c r="AB85" t="s">
        <v>140</v>
      </c>
      <c r="AC85" t="s">
        <v>140</v>
      </c>
      <c r="AD85" t="s">
        <v>140</v>
      </c>
      <c r="AE85" t="s">
        <v>140</v>
      </c>
      <c r="AF85" t="s">
        <v>140</v>
      </c>
      <c r="AG85" t="s">
        <v>140</v>
      </c>
      <c r="AH85" t="s">
        <v>140</v>
      </c>
      <c r="AI85" t="s">
        <v>140</v>
      </c>
      <c r="AJ85" t="s">
        <v>140</v>
      </c>
      <c r="AK85" t="s">
        <v>140</v>
      </c>
      <c r="AL85" t="s">
        <v>140</v>
      </c>
      <c r="AM85" t="s">
        <v>140</v>
      </c>
      <c r="AN85" t="s">
        <v>140</v>
      </c>
      <c r="AO85" t="s">
        <v>140</v>
      </c>
      <c r="AP85" t="s">
        <v>140</v>
      </c>
      <c r="AQ85" t="s">
        <v>140</v>
      </c>
      <c r="AR85" t="s">
        <v>140</v>
      </c>
      <c r="AS85" t="s">
        <v>140</v>
      </c>
      <c r="AT85" t="s">
        <v>140</v>
      </c>
      <c r="AU85" t="s">
        <v>140</v>
      </c>
      <c r="AV85" t="s">
        <v>140</v>
      </c>
      <c r="AW85" t="s">
        <v>140</v>
      </c>
      <c r="AX85" t="s">
        <v>140</v>
      </c>
      <c r="AY85" t="s">
        <v>140</v>
      </c>
      <c r="AZ85" t="s">
        <v>140</v>
      </c>
      <c r="BA85" t="s">
        <v>140</v>
      </c>
      <c r="BB85" t="s">
        <v>140</v>
      </c>
      <c r="BC85" t="s">
        <v>140</v>
      </c>
      <c r="BD85" t="s">
        <v>140</v>
      </c>
      <c r="BE85" t="s">
        <v>140</v>
      </c>
      <c r="BF85" t="s">
        <v>140</v>
      </c>
      <c r="BG85" t="s">
        <v>140</v>
      </c>
      <c r="BH85" t="s">
        <v>140</v>
      </c>
      <c r="BI85" t="s">
        <v>140</v>
      </c>
      <c r="BJ85" t="s">
        <v>140</v>
      </c>
      <c r="BK85" t="s">
        <v>140</v>
      </c>
      <c r="BL85" t="s">
        <v>140</v>
      </c>
      <c r="BM85" t="s">
        <v>140</v>
      </c>
      <c r="BN85" t="s">
        <v>140</v>
      </c>
      <c r="BO85" t="s">
        <v>140</v>
      </c>
      <c r="BP85" t="s">
        <v>140</v>
      </c>
      <c r="BQ85" t="s">
        <v>140</v>
      </c>
      <c r="BR85" t="s">
        <v>140</v>
      </c>
      <c r="BS85" t="s">
        <v>140</v>
      </c>
      <c r="BT85" t="s">
        <v>140</v>
      </c>
      <c r="BU85" t="s">
        <v>140</v>
      </c>
      <c r="BV85" t="s">
        <v>140</v>
      </c>
      <c r="BW85" t="s">
        <v>140</v>
      </c>
      <c r="BX85" t="s">
        <v>140</v>
      </c>
      <c r="BY85" t="s">
        <v>140</v>
      </c>
      <c r="BZ85" t="s">
        <v>140</v>
      </c>
      <c r="CA85" t="s">
        <v>140</v>
      </c>
      <c r="CB85" t="s">
        <v>140</v>
      </c>
      <c r="CC85" t="s">
        <v>140</v>
      </c>
      <c r="CD85" t="s">
        <v>140</v>
      </c>
      <c r="CE85" t="s">
        <v>140</v>
      </c>
      <c r="CF85" t="s">
        <v>140</v>
      </c>
      <c r="CG85" t="s">
        <v>140</v>
      </c>
      <c r="CH85" t="s">
        <v>140</v>
      </c>
      <c r="CI85" t="s">
        <v>140</v>
      </c>
      <c r="CJ85" t="s">
        <v>140</v>
      </c>
      <c r="CK85" t="s">
        <v>140</v>
      </c>
      <c r="CL85" t="s">
        <v>140</v>
      </c>
      <c r="CM85" t="s">
        <v>140</v>
      </c>
      <c r="CN85" t="s">
        <v>140</v>
      </c>
      <c r="CO85" t="s">
        <v>140</v>
      </c>
      <c r="CP85" t="s">
        <v>140</v>
      </c>
      <c r="CQ85" t="s">
        <v>140</v>
      </c>
      <c r="CR85" t="s">
        <v>140</v>
      </c>
      <c r="CS85" t="s">
        <v>140</v>
      </c>
      <c r="CT85" t="s">
        <v>140</v>
      </c>
      <c r="CU85" t="s">
        <v>140</v>
      </c>
      <c r="CV85" t="s">
        <v>140</v>
      </c>
      <c r="CW85" t="s">
        <v>140</v>
      </c>
      <c r="CX85" t="s">
        <v>140</v>
      </c>
      <c r="CY85" t="s">
        <v>140</v>
      </c>
      <c r="CZ85" t="s">
        <v>140</v>
      </c>
      <c r="DA85" t="s">
        <v>140</v>
      </c>
      <c r="DB85" t="s">
        <v>140</v>
      </c>
      <c r="DC85" s="1">
        <v>0</v>
      </c>
      <c r="DD85" s="1">
        <v>0</v>
      </c>
      <c r="DE85" s="1">
        <v>0</v>
      </c>
      <c r="DF85" s="1">
        <v>0</v>
      </c>
      <c r="DG85" s="1">
        <v>4380</v>
      </c>
      <c r="DH85" s="1">
        <v>7602</v>
      </c>
      <c r="DI85" s="1">
        <v>4438</v>
      </c>
      <c r="DJ85" s="1">
        <v>10842</v>
      </c>
      <c r="DK85" s="1">
        <v>4692</v>
      </c>
      <c r="DL85" s="1">
        <v>4910</v>
      </c>
      <c r="DM85" s="1">
        <v>8416</v>
      </c>
      <c r="DN85" s="1">
        <v>12646</v>
      </c>
      <c r="DO85" s="1">
        <v>7075</v>
      </c>
      <c r="DP85" s="1">
        <v>10230</v>
      </c>
      <c r="DQ85" s="1">
        <v>17032</v>
      </c>
      <c r="DR85" s="1">
        <v>10198</v>
      </c>
      <c r="DS85" s="1">
        <v>8009</v>
      </c>
      <c r="DT85" s="1">
        <v>8286</v>
      </c>
      <c r="DU85" s="1">
        <v>5953</v>
      </c>
      <c r="DV85" s="1">
        <v>11758</v>
      </c>
      <c r="DW85" s="1">
        <v>12132</v>
      </c>
      <c r="DX85" s="1">
        <v>35629</v>
      </c>
      <c r="DY85" s="1">
        <v>9226</v>
      </c>
      <c r="DZ85" s="1">
        <v>11103</v>
      </c>
      <c r="EA85" s="1">
        <v>6742</v>
      </c>
      <c r="EB85" s="1">
        <v>-23864</v>
      </c>
      <c r="EC85" s="1">
        <v>-4093</v>
      </c>
      <c r="ED85" s="1">
        <v>5278</v>
      </c>
    </row>
    <row r="86" spans="1:134" x14ac:dyDescent="0.25">
      <c r="A86" t="s">
        <v>205</v>
      </c>
      <c r="B86" s="1">
        <v>0</v>
      </c>
      <c r="C86" s="1">
        <v>0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  <c r="M86" s="1">
        <v>0</v>
      </c>
      <c r="N86" t="s">
        <v>141</v>
      </c>
      <c r="O86" t="s">
        <v>140</v>
      </c>
      <c r="P86" t="s">
        <v>140</v>
      </c>
      <c r="Q86" t="s">
        <v>140</v>
      </c>
      <c r="R86" t="s">
        <v>140</v>
      </c>
      <c r="S86" t="s">
        <v>140</v>
      </c>
      <c r="T86" t="s">
        <v>140</v>
      </c>
      <c r="U86" t="s">
        <v>140</v>
      </c>
      <c r="V86" t="s">
        <v>140</v>
      </c>
      <c r="W86" t="s">
        <v>140</v>
      </c>
      <c r="X86" t="s">
        <v>140</v>
      </c>
      <c r="Y86" t="s">
        <v>140</v>
      </c>
      <c r="Z86" t="s">
        <v>140</v>
      </c>
      <c r="AA86" t="s">
        <v>140</v>
      </c>
      <c r="AB86" t="s">
        <v>140</v>
      </c>
      <c r="AC86" t="s">
        <v>140</v>
      </c>
      <c r="AD86" t="s">
        <v>140</v>
      </c>
      <c r="AE86" t="s">
        <v>140</v>
      </c>
      <c r="AF86" t="s">
        <v>140</v>
      </c>
      <c r="AG86" t="s">
        <v>140</v>
      </c>
      <c r="AH86" t="s">
        <v>140</v>
      </c>
      <c r="AI86" t="s">
        <v>140</v>
      </c>
      <c r="AJ86" t="s">
        <v>140</v>
      </c>
      <c r="AK86" t="s">
        <v>140</v>
      </c>
      <c r="AL86" t="s">
        <v>140</v>
      </c>
      <c r="AM86" t="s">
        <v>140</v>
      </c>
      <c r="AN86" t="s">
        <v>140</v>
      </c>
      <c r="AO86" t="s">
        <v>140</v>
      </c>
      <c r="AP86" t="s">
        <v>140</v>
      </c>
      <c r="AQ86" t="s">
        <v>140</v>
      </c>
      <c r="AR86" t="s">
        <v>140</v>
      </c>
      <c r="AS86" t="s">
        <v>140</v>
      </c>
      <c r="AT86" t="s">
        <v>140</v>
      </c>
      <c r="AU86" t="s">
        <v>140</v>
      </c>
      <c r="AV86" t="s">
        <v>140</v>
      </c>
      <c r="AW86" t="s">
        <v>140</v>
      </c>
      <c r="AX86" t="s">
        <v>140</v>
      </c>
      <c r="AY86" t="s">
        <v>140</v>
      </c>
      <c r="AZ86" t="s">
        <v>140</v>
      </c>
      <c r="BA86" t="s">
        <v>140</v>
      </c>
      <c r="BB86" t="s">
        <v>140</v>
      </c>
      <c r="BC86" t="s">
        <v>140</v>
      </c>
      <c r="BD86" t="s">
        <v>140</v>
      </c>
      <c r="BE86" t="s">
        <v>140</v>
      </c>
      <c r="BF86" t="s">
        <v>140</v>
      </c>
      <c r="BG86" t="s">
        <v>140</v>
      </c>
      <c r="BH86" t="s">
        <v>140</v>
      </c>
      <c r="BI86" t="s">
        <v>140</v>
      </c>
      <c r="BJ86" t="s">
        <v>140</v>
      </c>
      <c r="BK86" t="s">
        <v>140</v>
      </c>
      <c r="BL86" t="s">
        <v>140</v>
      </c>
      <c r="BM86" t="s">
        <v>140</v>
      </c>
      <c r="BN86" t="s">
        <v>140</v>
      </c>
      <c r="BO86" t="s">
        <v>140</v>
      </c>
      <c r="BP86" t="s">
        <v>140</v>
      </c>
      <c r="BQ86" t="s">
        <v>140</v>
      </c>
      <c r="BR86" t="s">
        <v>140</v>
      </c>
      <c r="BS86" t="s">
        <v>140</v>
      </c>
      <c r="BT86" t="s">
        <v>140</v>
      </c>
      <c r="BU86" t="s">
        <v>140</v>
      </c>
      <c r="BV86" t="s">
        <v>140</v>
      </c>
      <c r="BW86" t="s">
        <v>140</v>
      </c>
      <c r="BX86" t="s">
        <v>140</v>
      </c>
      <c r="BY86" t="s">
        <v>140</v>
      </c>
      <c r="BZ86" t="s">
        <v>140</v>
      </c>
      <c r="CA86" t="s">
        <v>140</v>
      </c>
      <c r="CB86" t="s">
        <v>140</v>
      </c>
      <c r="CC86" t="s">
        <v>140</v>
      </c>
      <c r="CD86" t="s">
        <v>140</v>
      </c>
      <c r="CE86" t="s">
        <v>140</v>
      </c>
      <c r="CF86" t="s">
        <v>140</v>
      </c>
      <c r="CG86" t="s">
        <v>140</v>
      </c>
      <c r="CH86" t="s">
        <v>140</v>
      </c>
      <c r="CI86" t="s">
        <v>140</v>
      </c>
      <c r="CJ86" t="s">
        <v>140</v>
      </c>
      <c r="CK86" t="s">
        <v>140</v>
      </c>
      <c r="CL86" t="s">
        <v>140</v>
      </c>
      <c r="CM86" t="s">
        <v>140</v>
      </c>
      <c r="CN86" t="s">
        <v>140</v>
      </c>
      <c r="CO86" t="s">
        <v>140</v>
      </c>
      <c r="CP86" t="s">
        <v>140</v>
      </c>
      <c r="CQ86" t="s">
        <v>140</v>
      </c>
      <c r="CR86" t="s">
        <v>140</v>
      </c>
      <c r="CS86" t="s">
        <v>140</v>
      </c>
      <c r="CT86" t="s">
        <v>140</v>
      </c>
      <c r="CU86" t="s">
        <v>140</v>
      </c>
      <c r="CV86" t="s">
        <v>140</v>
      </c>
      <c r="CW86" t="s">
        <v>140</v>
      </c>
      <c r="CX86" t="s">
        <v>140</v>
      </c>
      <c r="CY86" t="s">
        <v>140</v>
      </c>
      <c r="CZ86" t="s">
        <v>140</v>
      </c>
      <c r="DA86" t="s">
        <v>140</v>
      </c>
      <c r="DB86" t="s">
        <v>140</v>
      </c>
      <c r="DC86" s="1">
        <v>0</v>
      </c>
      <c r="DD86" s="1">
        <v>0</v>
      </c>
      <c r="DE86" s="1">
        <v>0</v>
      </c>
      <c r="DF86" s="1">
        <v>0</v>
      </c>
      <c r="DG86" s="1">
        <v>0</v>
      </c>
      <c r="DH86" s="1">
        <v>0</v>
      </c>
      <c r="DI86" s="1">
        <v>0</v>
      </c>
      <c r="DJ86" s="1">
        <v>0</v>
      </c>
      <c r="DK86" s="1">
        <v>0</v>
      </c>
      <c r="DL86" s="1">
        <v>0</v>
      </c>
      <c r="DM86" s="1">
        <v>0</v>
      </c>
      <c r="DN86" s="1">
        <v>0</v>
      </c>
      <c r="DO86" s="1">
        <v>0</v>
      </c>
      <c r="DP86" s="1">
        <v>0</v>
      </c>
      <c r="DQ86" s="1">
        <v>0</v>
      </c>
      <c r="DR86" s="1">
        <v>0</v>
      </c>
      <c r="DS86" s="1">
        <v>0</v>
      </c>
      <c r="DT86" s="1">
        <v>0</v>
      </c>
      <c r="DU86" s="1">
        <v>0</v>
      </c>
      <c r="DV86" s="1">
        <v>0</v>
      </c>
      <c r="DW86" s="1">
        <v>0</v>
      </c>
      <c r="DX86" s="1">
        <v>0</v>
      </c>
      <c r="DY86" s="1">
        <v>0</v>
      </c>
      <c r="DZ86" s="1">
        <v>0</v>
      </c>
      <c r="EA86" s="1">
        <v>0</v>
      </c>
      <c r="EB86" s="1">
        <v>0</v>
      </c>
      <c r="EC86" s="1">
        <v>0</v>
      </c>
      <c r="ED86" s="1">
        <v>0</v>
      </c>
    </row>
    <row r="87" spans="1:134" x14ac:dyDescent="0.25">
      <c r="A87" t="s">
        <v>206</v>
      </c>
      <c r="B87" s="1">
        <v>6.9</v>
      </c>
      <c r="C87" s="1">
        <v>4.2699999999999996</v>
      </c>
      <c r="D87" s="1">
        <v>9.25</v>
      </c>
      <c r="E87" s="1">
        <v>7.51</v>
      </c>
      <c r="F87" s="1">
        <v>11.83</v>
      </c>
      <c r="G87" s="1">
        <v>7.19</v>
      </c>
      <c r="H87" s="1">
        <v>7.93</v>
      </c>
      <c r="I87" s="1">
        <v>21.71</v>
      </c>
      <c r="J87" s="1">
        <v>9.56</v>
      </c>
      <c r="K87" s="1">
        <v>-8.17</v>
      </c>
      <c r="L87" s="1">
        <v>0.56999999999999995</v>
      </c>
      <c r="M87" s="1">
        <v>0.57000000000000006</v>
      </c>
      <c r="N87" t="s">
        <v>141</v>
      </c>
      <c r="O87" t="s">
        <v>140</v>
      </c>
      <c r="P87" t="s">
        <v>140</v>
      </c>
      <c r="Q87" t="s">
        <v>140</v>
      </c>
      <c r="R87" t="s">
        <v>140</v>
      </c>
      <c r="S87" t="s">
        <v>140</v>
      </c>
      <c r="T87" t="s">
        <v>140</v>
      </c>
      <c r="U87" t="s">
        <v>140</v>
      </c>
      <c r="V87" t="s">
        <v>140</v>
      </c>
      <c r="W87" t="s">
        <v>140</v>
      </c>
      <c r="X87" t="s">
        <v>140</v>
      </c>
      <c r="Y87" t="s">
        <v>140</v>
      </c>
      <c r="Z87" t="s">
        <v>140</v>
      </c>
      <c r="AA87" t="s">
        <v>140</v>
      </c>
      <c r="AB87" t="s">
        <v>140</v>
      </c>
      <c r="AC87" t="s">
        <v>140</v>
      </c>
      <c r="AD87" t="s">
        <v>140</v>
      </c>
      <c r="AE87" t="s">
        <v>140</v>
      </c>
      <c r="AF87" t="s">
        <v>140</v>
      </c>
      <c r="AG87" t="s">
        <v>140</v>
      </c>
      <c r="AH87" t="s">
        <v>140</v>
      </c>
      <c r="AI87" t="s">
        <v>140</v>
      </c>
      <c r="AJ87" t="s">
        <v>140</v>
      </c>
      <c r="AK87" t="s">
        <v>140</v>
      </c>
      <c r="AL87" t="s">
        <v>140</v>
      </c>
      <c r="AM87" t="s">
        <v>140</v>
      </c>
      <c r="AN87" t="s">
        <v>140</v>
      </c>
      <c r="AO87" t="s">
        <v>140</v>
      </c>
      <c r="AP87" t="s">
        <v>140</v>
      </c>
      <c r="AQ87" t="s">
        <v>140</v>
      </c>
      <c r="AR87" t="s">
        <v>140</v>
      </c>
      <c r="AS87" t="s">
        <v>140</v>
      </c>
      <c r="AT87" t="s">
        <v>140</v>
      </c>
      <c r="AU87" t="s">
        <v>140</v>
      </c>
      <c r="AV87" t="s">
        <v>140</v>
      </c>
      <c r="AW87" t="s">
        <v>140</v>
      </c>
      <c r="AX87" t="s">
        <v>140</v>
      </c>
      <c r="AY87" t="s">
        <v>140</v>
      </c>
      <c r="AZ87" t="s">
        <v>140</v>
      </c>
      <c r="BA87" t="s">
        <v>140</v>
      </c>
      <c r="BB87" t="s">
        <v>140</v>
      </c>
      <c r="BC87" t="s">
        <v>140</v>
      </c>
      <c r="BD87" t="s">
        <v>140</v>
      </c>
      <c r="BE87" t="s">
        <v>140</v>
      </c>
      <c r="BF87" t="s">
        <v>140</v>
      </c>
      <c r="BG87" t="s">
        <v>140</v>
      </c>
      <c r="BH87" t="s">
        <v>140</v>
      </c>
      <c r="BI87" t="s">
        <v>140</v>
      </c>
      <c r="BJ87" t="s">
        <v>140</v>
      </c>
      <c r="BK87" t="s">
        <v>140</v>
      </c>
      <c r="BL87" t="s">
        <v>140</v>
      </c>
      <c r="BM87" t="s">
        <v>140</v>
      </c>
      <c r="BN87" t="s">
        <v>140</v>
      </c>
      <c r="BO87" t="s">
        <v>140</v>
      </c>
      <c r="BP87" t="s">
        <v>140</v>
      </c>
      <c r="BQ87" t="s">
        <v>140</v>
      </c>
      <c r="BR87" t="s">
        <v>140</v>
      </c>
      <c r="BS87" t="s">
        <v>140</v>
      </c>
      <c r="BT87" t="s">
        <v>140</v>
      </c>
      <c r="BU87" t="s">
        <v>140</v>
      </c>
      <c r="BV87" t="s">
        <v>140</v>
      </c>
      <c r="BW87" t="s">
        <v>140</v>
      </c>
      <c r="BX87" t="s">
        <v>140</v>
      </c>
      <c r="BY87" t="s">
        <v>140</v>
      </c>
      <c r="BZ87" t="s">
        <v>140</v>
      </c>
      <c r="CA87" t="s">
        <v>140</v>
      </c>
      <c r="CB87" t="s">
        <v>140</v>
      </c>
      <c r="CC87" t="s">
        <v>140</v>
      </c>
      <c r="CD87" t="s">
        <v>140</v>
      </c>
      <c r="CE87" t="s">
        <v>140</v>
      </c>
      <c r="CF87" t="s">
        <v>140</v>
      </c>
      <c r="CG87" t="s">
        <v>140</v>
      </c>
      <c r="CH87" t="s">
        <v>140</v>
      </c>
      <c r="CI87" t="s">
        <v>140</v>
      </c>
      <c r="CJ87" t="s">
        <v>140</v>
      </c>
      <c r="CK87" t="s">
        <v>140</v>
      </c>
      <c r="CL87" t="s">
        <v>140</v>
      </c>
      <c r="CM87" t="s">
        <v>140</v>
      </c>
      <c r="CN87" t="s">
        <v>140</v>
      </c>
      <c r="CO87" t="s">
        <v>140</v>
      </c>
      <c r="CP87" t="s">
        <v>140</v>
      </c>
      <c r="CQ87" t="s">
        <v>140</v>
      </c>
      <c r="CR87" t="s">
        <v>140</v>
      </c>
      <c r="CS87" t="s">
        <v>140</v>
      </c>
      <c r="CT87" t="s">
        <v>140</v>
      </c>
      <c r="CU87" t="s">
        <v>140</v>
      </c>
      <c r="CV87" t="s">
        <v>140</v>
      </c>
      <c r="CW87" t="s">
        <v>140</v>
      </c>
      <c r="CX87" t="s">
        <v>140</v>
      </c>
      <c r="CY87" t="s">
        <v>140</v>
      </c>
      <c r="CZ87" t="s">
        <v>140</v>
      </c>
      <c r="DA87" t="s">
        <v>140</v>
      </c>
      <c r="DB87" t="s">
        <v>140</v>
      </c>
      <c r="DC87" s="1">
        <v>0</v>
      </c>
      <c r="DD87" s="1">
        <v>0</v>
      </c>
      <c r="DE87" s="1">
        <v>0</v>
      </c>
      <c r="DF87" s="1">
        <v>0</v>
      </c>
      <c r="DG87" s="1">
        <v>2.02</v>
      </c>
      <c r="DH87" s="1">
        <v>3.48</v>
      </c>
      <c r="DI87" s="1">
        <v>2.0099999999999998</v>
      </c>
      <c r="DJ87" s="1">
        <v>4.8899999999999997</v>
      </c>
      <c r="DK87" s="1">
        <v>2.1</v>
      </c>
      <c r="DL87" s="1">
        <v>2.17</v>
      </c>
      <c r="DM87" s="1">
        <v>3.71</v>
      </c>
      <c r="DN87" s="1">
        <v>5.54</v>
      </c>
      <c r="DO87" s="1">
        <v>3.08</v>
      </c>
      <c r="DP87" s="1">
        <v>4.43</v>
      </c>
      <c r="DQ87" s="1">
        <v>7.37</v>
      </c>
      <c r="DR87" s="1">
        <v>4.46</v>
      </c>
      <c r="DS87" s="1">
        <v>3.51</v>
      </c>
      <c r="DT87" s="1">
        <v>3.68</v>
      </c>
      <c r="DU87" s="1">
        <v>2.65</v>
      </c>
      <c r="DV87" s="1">
        <v>5.28</v>
      </c>
      <c r="DW87" s="1">
        <v>5.49</v>
      </c>
      <c r="DX87" s="1">
        <v>16.22</v>
      </c>
      <c r="DY87" s="1">
        <v>4.3099999999999996</v>
      </c>
      <c r="DZ87" s="1">
        <v>5.25</v>
      </c>
      <c r="EA87" s="1">
        <v>3.2</v>
      </c>
      <c r="EB87" s="1">
        <v>-11.37</v>
      </c>
      <c r="EC87" s="1">
        <v>-1.99</v>
      </c>
      <c r="ED87" s="1">
        <v>2.56</v>
      </c>
    </row>
    <row r="88" spans="1:134" x14ac:dyDescent="0.25">
      <c r="A88" t="s">
        <v>207</v>
      </c>
      <c r="B88" s="1">
        <v>6.89</v>
      </c>
      <c r="C88" s="1">
        <v>4.2699999999999996</v>
      </c>
      <c r="D88" s="1">
        <v>9.23</v>
      </c>
      <c r="E88" s="1">
        <v>7.51</v>
      </c>
      <c r="F88" s="1">
        <v>11.82</v>
      </c>
      <c r="G88" s="1">
        <v>7.19</v>
      </c>
      <c r="H88" s="1">
        <v>7.93</v>
      </c>
      <c r="I88" s="1">
        <v>21.69</v>
      </c>
      <c r="J88" s="1">
        <v>9.56</v>
      </c>
      <c r="K88" s="1">
        <v>-8.17</v>
      </c>
      <c r="L88" s="1">
        <v>0.56999999999999995</v>
      </c>
      <c r="M88" s="1">
        <v>0.57000000000000006</v>
      </c>
      <c r="N88" t="s">
        <v>141</v>
      </c>
      <c r="O88" t="s">
        <v>140</v>
      </c>
      <c r="P88" t="s">
        <v>140</v>
      </c>
      <c r="Q88" t="s">
        <v>140</v>
      </c>
      <c r="R88" t="s">
        <v>140</v>
      </c>
      <c r="S88" t="s">
        <v>140</v>
      </c>
      <c r="T88" t="s">
        <v>140</v>
      </c>
      <c r="U88" t="s">
        <v>140</v>
      </c>
      <c r="V88" t="s">
        <v>140</v>
      </c>
      <c r="W88" t="s">
        <v>140</v>
      </c>
      <c r="X88" t="s">
        <v>140</v>
      </c>
      <c r="Y88" t="s">
        <v>140</v>
      </c>
      <c r="Z88" t="s">
        <v>140</v>
      </c>
      <c r="AA88" t="s">
        <v>140</v>
      </c>
      <c r="AB88" t="s">
        <v>140</v>
      </c>
      <c r="AC88" t="s">
        <v>140</v>
      </c>
      <c r="AD88" t="s">
        <v>140</v>
      </c>
      <c r="AE88" t="s">
        <v>140</v>
      </c>
      <c r="AF88" t="s">
        <v>140</v>
      </c>
      <c r="AG88" t="s">
        <v>140</v>
      </c>
      <c r="AH88" t="s">
        <v>140</v>
      </c>
      <c r="AI88" t="s">
        <v>140</v>
      </c>
      <c r="AJ88" t="s">
        <v>140</v>
      </c>
      <c r="AK88" t="s">
        <v>140</v>
      </c>
      <c r="AL88" t="s">
        <v>140</v>
      </c>
      <c r="AM88" t="s">
        <v>140</v>
      </c>
      <c r="AN88" t="s">
        <v>140</v>
      </c>
      <c r="AO88" t="s">
        <v>140</v>
      </c>
      <c r="AP88" t="s">
        <v>140</v>
      </c>
      <c r="AQ88" t="s">
        <v>140</v>
      </c>
      <c r="AR88" t="s">
        <v>140</v>
      </c>
      <c r="AS88" t="s">
        <v>140</v>
      </c>
      <c r="AT88" t="s">
        <v>140</v>
      </c>
      <c r="AU88" t="s">
        <v>140</v>
      </c>
      <c r="AV88" t="s">
        <v>140</v>
      </c>
      <c r="AW88" t="s">
        <v>140</v>
      </c>
      <c r="AX88" t="s">
        <v>140</v>
      </c>
      <c r="AY88" t="s">
        <v>140</v>
      </c>
      <c r="AZ88" t="s">
        <v>140</v>
      </c>
      <c r="BA88" t="s">
        <v>140</v>
      </c>
      <c r="BB88" t="s">
        <v>140</v>
      </c>
      <c r="BC88" t="s">
        <v>140</v>
      </c>
      <c r="BD88" t="s">
        <v>140</v>
      </c>
      <c r="BE88" t="s">
        <v>140</v>
      </c>
      <c r="BF88" t="s">
        <v>140</v>
      </c>
      <c r="BG88" t="s">
        <v>140</v>
      </c>
      <c r="BH88" t="s">
        <v>140</v>
      </c>
      <c r="BI88" t="s">
        <v>140</v>
      </c>
      <c r="BJ88" t="s">
        <v>140</v>
      </c>
      <c r="BK88" t="s">
        <v>140</v>
      </c>
      <c r="BL88" t="s">
        <v>140</v>
      </c>
      <c r="BM88" t="s">
        <v>140</v>
      </c>
      <c r="BN88" t="s">
        <v>140</v>
      </c>
      <c r="BO88" t="s">
        <v>140</v>
      </c>
      <c r="BP88" t="s">
        <v>140</v>
      </c>
      <c r="BQ88" t="s">
        <v>140</v>
      </c>
      <c r="BR88" t="s">
        <v>140</v>
      </c>
      <c r="BS88" t="s">
        <v>140</v>
      </c>
      <c r="BT88" t="s">
        <v>140</v>
      </c>
      <c r="BU88" t="s">
        <v>140</v>
      </c>
      <c r="BV88" t="s">
        <v>140</v>
      </c>
      <c r="BW88" t="s">
        <v>140</v>
      </c>
      <c r="BX88" t="s">
        <v>140</v>
      </c>
      <c r="BY88" t="s">
        <v>140</v>
      </c>
      <c r="BZ88" t="s">
        <v>140</v>
      </c>
      <c r="CA88" t="s">
        <v>140</v>
      </c>
      <c r="CB88" t="s">
        <v>140</v>
      </c>
      <c r="CC88" t="s">
        <v>140</v>
      </c>
      <c r="CD88" t="s">
        <v>140</v>
      </c>
      <c r="CE88" t="s">
        <v>140</v>
      </c>
      <c r="CF88" t="s">
        <v>140</v>
      </c>
      <c r="CG88" t="s">
        <v>140</v>
      </c>
      <c r="CH88" t="s">
        <v>140</v>
      </c>
      <c r="CI88" t="s">
        <v>140</v>
      </c>
      <c r="CJ88" t="s">
        <v>140</v>
      </c>
      <c r="CK88" t="s">
        <v>140</v>
      </c>
      <c r="CL88" t="s">
        <v>140</v>
      </c>
      <c r="CM88" t="s">
        <v>140</v>
      </c>
      <c r="CN88" t="s">
        <v>140</v>
      </c>
      <c r="CO88" t="s">
        <v>140</v>
      </c>
      <c r="CP88" t="s">
        <v>140</v>
      </c>
      <c r="CQ88" t="s">
        <v>140</v>
      </c>
      <c r="CR88" t="s">
        <v>140</v>
      </c>
      <c r="CS88" t="s">
        <v>140</v>
      </c>
      <c r="CT88" t="s">
        <v>140</v>
      </c>
      <c r="CU88" t="s">
        <v>140</v>
      </c>
      <c r="CV88" t="s">
        <v>140</v>
      </c>
      <c r="CW88" t="s">
        <v>140</v>
      </c>
      <c r="CX88" t="s">
        <v>140</v>
      </c>
      <c r="CY88" t="s">
        <v>140</v>
      </c>
      <c r="CZ88" t="s">
        <v>140</v>
      </c>
      <c r="DA88" t="s">
        <v>140</v>
      </c>
      <c r="DB88" t="s">
        <v>140</v>
      </c>
      <c r="DC88" s="1">
        <v>0</v>
      </c>
      <c r="DD88" s="1">
        <v>0</v>
      </c>
      <c r="DE88" s="1">
        <v>0</v>
      </c>
      <c r="DF88" s="1">
        <v>0</v>
      </c>
      <c r="DG88" s="1">
        <v>2.016</v>
      </c>
      <c r="DH88" s="1">
        <v>3.4740000000000002</v>
      </c>
      <c r="DI88" s="1">
        <v>2.0099999999999998</v>
      </c>
      <c r="DJ88" s="1">
        <v>4.88</v>
      </c>
      <c r="DK88" s="1">
        <v>2.09</v>
      </c>
      <c r="DL88" s="1">
        <v>2.17</v>
      </c>
      <c r="DM88" s="1">
        <v>3.7</v>
      </c>
      <c r="DN88" s="1">
        <v>5.53</v>
      </c>
      <c r="DO88" s="1">
        <v>3.08</v>
      </c>
      <c r="DP88" s="1">
        <v>4.43</v>
      </c>
      <c r="DQ88" s="1">
        <v>7.37</v>
      </c>
      <c r="DR88" s="1">
        <v>4.45</v>
      </c>
      <c r="DS88" s="1">
        <v>3.5</v>
      </c>
      <c r="DT88" s="1">
        <v>3.68</v>
      </c>
      <c r="DU88" s="1">
        <v>2.65</v>
      </c>
      <c r="DV88" s="1">
        <v>5.28</v>
      </c>
      <c r="DW88" s="1">
        <v>5.48</v>
      </c>
      <c r="DX88" s="1">
        <v>16.21</v>
      </c>
      <c r="DY88" s="1">
        <v>4.3099999999999996</v>
      </c>
      <c r="DZ88" s="1">
        <v>5.25</v>
      </c>
      <c r="EA88" s="1">
        <v>3.14</v>
      </c>
      <c r="EB88" s="1">
        <v>-11.37</v>
      </c>
      <c r="EC88" s="1">
        <v>-1.99</v>
      </c>
      <c r="ED88" s="1">
        <v>2.56</v>
      </c>
    </row>
    <row r="89" spans="1:134" x14ac:dyDescent="0.25">
      <c r="A89" t="s">
        <v>208</v>
      </c>
      <c r="B89" s="1">
        <v>2217.453</v>
      </c>
      <c r="C89" s="1">
        <v>2249.4560000000001</v>
      </c>
      <c r="D89" s="1">
        <v>2281.11</v>
      </c>
      <c r="E89" s="1">
        <v>2305.3200000000002</v>
      </c>
      <c r="F89" s="1">
        <v>2303.6469999999999</v>
      </c>
      <c r="G89" s="1">
        <v>2269.4340000000002</v>
      </c>
      <c r="H89" s="1">
        <v>2234.29</v>
      </c>
      <c r="I89" s="1">
        <v>2201.5859999999998</v>
      </c>
      <c r="J89" s="1">
        <v>2126.3339999999998</v>
      </c>
      <c r="K89" s="1">
        <v>2096.2440000000001</v>
      </c>
      <c r="L89" s="1">
        <v>2066.8809999999999</v>
      </c>
      <c r="M89" s="1">
        <v>2072.4349999999999</v>
      </c>
      <c r="N89" t="s">
        <v>141</v>
      </c>
      <c r="O89" t="s">
        <v>140</v>
      </c>
      <c r="P89" t="s">
        <v>140</v>
      </c>
      <c r="Q89" t="s">
        <v>140</v>
      </c>
      <c r="R89" t="s">
        <v>140</v>
      </c>
      <c r="S89" t="s">
        <v>140</v>
      </c>
      <c r="T89" t="s">
        <v>140</v>
      </c>
      <c r="U89" t="s">
        <v>140</v>
      </c>
      <c r="V89" t="s">
        <v>140</v>
      </c>
      <c r="W89" t="s">
        <v>140</v>
      </c>
      <c r="X89" t="s">
        <v>140</v>
      </c>
      <c r="Y89" t="s">
        <v>140</v>
      </c>
      <c r="Z89" t="s">
        <v>140</v>
      </c>
      <c r="AA89" t="s">
        <v>140</v>
      </c>
      <c r="AB89" t="s">
        <v>140</v>
      </c>
      <c r="AC89" t="s">
        <v>140</v>
      </c>
      <c r="AD89" t="s">
        <v>140</v>
      </c>
      <c r="AE89" t="s">
        <v>140</v>
      </c>
      <c r="AF89" t="s">
        <v>140</v>
      </c>
      <c r="AG89" t="s">
        <v>140</v>
      </c>
      <c r="AH89" t="s">
        <v>140</v>
      </c>
      <c r="AI89" t="s">
        <v>140</v>
      </c>
      <c r="AJ89" t="s">
        <v>140</v>
      </c>
      <c r="AK89" t="s">
        <v>140</v>
      </c>
      <c r="AL89" t="s">
        <v>140</v>
      </c>
      <c r="AM89" t="s">
        <v>140</v>
      </c>
      <c r="AN89" t="s">
        <v>140</v>
      </c>
      <c r="AO89" t="s">
        <v>140</v>
      </c>
      <c r="AP89" t="s">
        <v>140</v>
      </c>
      <c r="AQ89" t="s">
        <v>140</v>
      </c>
      <c r="AR89" t="s">
        <v>140</v>
      </c>
      <c r="AS89" t="s">
        <v>140</v>
      </c>
      <c r="AT89" t="s">
        <v>140</v>
      </c>
      <c r="AU89" t="s">
        <v>140</v>
      </c>
      <c r="AV89" t="s">
        <v>140</v>
      </c>
      <c r="AW89" t="s">
        <v>140</v>
      </c>
      <c r="AX89" t="s">
        <v>140</v>
      </c>
      <c r="AY89" t="s">
        <v>140</v>
      </c>
      <c r="AZ89" t="s">
        <v>140</v>
      </c>
      <c r="BA89" t="s">
        <v>140</v>
      </c>
      <c r="BB89" t="s">
        <v>140</v>
      </c>
      <c r="BC89" t="s">
        <v>140</v>
      </c>
      <c r="BD89" t="s">
        <v>140</v>
      </c>
      <c r="BE89" t="s">
        <v>140</v>
      </c>
      <c r="BF89" t="s">
        <v>140</v>
      </c>
      <c r="BG89" t="s">
        <v>140</v>
      </c>
      <c r="BH89" t="s">
        <v>140</v>
      </c>
      <c r="BI89" t="s">
        <v>140</v>
      </c>
      <c r="BJ89" t="s">
        <v>140</v>
      </c>
      <c r="BK89" t="s">
        <v>140</v>
      </c>
      <c r="BL89" t="s">
        <v>140</v>
      </c>
      <c r="BM89" t="s">
        <v>140</v>
      </c>
      <c r="BN89" t="s">
        <v>140</v>
      </c>
      <c r="BO89" t="s">
        <v>140</v>
      </c>
      <c r="BP89" t="s">
        <v>140</v>
      </c>
      <c r="BQ89" t="s">
        <v>140</v>
      </c>
      <c r="BR89" t="s">
        <v>140</v>
      </c>
      <c r="BS89" t="s">
        <v>140</v>
      </c>
      <c r="BT89" t="s">
        <v>140</v>
      </c>
      <c r="BU89" t="s">
        <v>140</v>
      </c>
      <c r="BV89" t="s">
        <v>140</v>
      </c>
      <c r="BW89" t="s">
        <v>140</v>
      </c>
      <c r="BX89" t="s">
        <v>140</v>
      </c>
      <c r="BY89" t="s">
        <v>140</v>
      </c>
      <c r="BZ89" t="s">
        <v>140</v>
      </c>
      <c r="CA89" t="s">
        <v>140</v>
      </c>
      <c r="CB89" t="s">
        <v>140</v>
      </c>
      <c r="CC89" t="s">
        <v>140</v>
      </c>
      <c r="CD89" t="s">
        <v>140</v>
      </c>
      <c r="CE89" t="s">
        <v>140</v>
      </c>
      <c r="CF89" t="s">
        <v>140</v>
      </c>
      <c r="CG89" t="s">
        <v>140</v>
      </c>
      <c r="CH89" t="s">
        <v>140</v>
      </c>
      <c r="CI89" t="s">
        <v>140</v>
      </c>
      <c r="CJ89" t="s">
        <v>140</v>
      </c>
      <c r="CK89" t="s">
        <v>140</v>
      </c>
      <c r="CL89" t="s">
        <v>140</v>
      </c>
      <c r="CM89" t="s">
        <v>140</v>
      </c>
      <c r="CN89" t="s">
        <v>140</v>
      </c>
      <c r="CO89" t="s">
        <v>140</v>
      </c>
      <c r="CP89" t="s">
        <v>140</v>
      </c>
      <c r="CQ89" t="s">
        <v>140</v>
      </c>
      <c r="CR89" t="s">
        <v>140</v>
      </c>
      <c r="CS89" t="s">
        <v>140</v>
      </c>
      <c r="CT89" t="s">
        <v>140</v>
      </c>
      <c r="CU89" t="s">
        <v>140</v>
      </c>
      <c r="CV89" t="s">
        <v>140</v>
      </c>
      <c r="CW89" t="s">
        <v>140</v>
      </c>
      <c r="CX89" t="s">
        <v>140</v>
      </c>
      <c r="CY89" t="s">
        <v>140</v>
      </c>
      <c r="CZ89" t="s">
        <v>140</v>
      </c>
      <c r="DA89" t="s">
        <v>140</v>
      </c>
      <c r="DB89" t="s">
        <v>140</v>
      </c>
      <c r="DC89" s="1">
        <v>2190.527</v>
      </c>
      <c r="DD89" s="1">
        <v>2190.527</v>
      </c>
      <c r="DE89" s="1">
        <v>2212.2779999999998</v>
      </c>
      <c r="DF89" s="1">
        <v>2216.6080000000002</v>
      </c>
      <c r="DG89" s="1">
        <v>2172.9589999999998</v>
      </c>
      <c r="DH89" s="1">
        <v>2189.348</v>
      </c>
      <c r="DI89" s="1">
        <v>2209.1779999999999</v>
      </c>
      <c r="DJ89" s="1">
        <v>2225.7269999999999</v>
      </c>
      <c r="DK89" s="1">
        <v>2240.6039999999998</v>
      </c>
      <c r="DL89" s="1">
        <v>2258.3090000000002</v>
      </c>
      <c r="DM89" s="1">
        <v>2272.3969999999999</v>
      </c>
      <c r="DN89" s="1">
        <v>2289.8240000000001</v>
      </c>
      <c r="DO89" s="1">
        <v>2297.4070000000002</v>
      </c>
      <c r="DP89" s="1">
        <v>2313.232</v>
      </c>
      <c r="DQ89" s="1">
        <v>2311.5</v>
      </c>
      <c r="DR89" s="1">
        <v>2295.7950000000001</v>
      </c>
      <c r="DS89" s="1">
        <v>2285.779</v>
      </c>
      <c r="DT89" s="1">
        <v>2253.0889999999999</v>
      </c>
      <c r="DU89" s="1">
        <v>2244.6030000000001</v>
      </c>
      <c r="DV89" s="1">
        <v>2223.9760000000001</v>
      </c>
      <c r="DW89" s="1">
        <v>2213.1019999999999</v>
      </c>
      <c r="DX89" s="1">
        <v>2190.069</v>
      </c>
      <c r="DY89" s="1">
        <v>2141.1819999999998</v>
      </c>
      <c r="DZ89" s="1">
        <v>2111.4859999999999</v>
      </c>
      <c r="EA89" s="1">
        <v>2145.3879999999999</v>
      </c>
      <c r="EB89" s="1">
        <v>2083.6669999999999</v>
      </c>
      <c r="EC89" s="1">
        <v>2061.326</v>
      </c>
      <c r="ED89" s="1">
        <v>2072.4349999999999</v>
      </c>
    </row>
    <row r="90" spans="1:134" x14ac:dyDescent="0.25">
      <c r="A90" t="s">
        <v>209</v>
      </c>
      <c r="B90" s="1">
        <v>16284</v>
      </c>
      <c r="C90" s="1">
        <v>10450</v>
      </c>
      <c r="D90" s="1">
        <v>22026</v>
      </c>
      <c r="E90" s="1">
        <v>18379</v>
      </c>
      <c r="F90" s="1">
        <v>28394</v>
      </c>
      <c r="G90" s="1">
        <v>17702</v>
      </c>
      <c r="H90" s="1">
        <v>19333</v>
      </c>
      <c r="I90" s="1">
        <v>49851</v>
      </c>
      <c r="J90" s="1">
        <v>22237</v>
      </c>
      <c r="K90" s="1">
        <v>-15706</v>
      </c>
      <c r="L90" s="1">
        <v>2687</v>
      </c>
      <c r="M90" s="1">
        <v>2687</v>
      </c>
      <c r="N90" t="s">
        <v>141</v>
      </c>
      <c r="O90" t="s">
        <v>140</v>
      </c>
      <c r="P90" t="s">
        <v>140</v>
      </c>
      <c r="Q90" t="s">
        <v>140</v>
      </c>
      <c r="R90" t="s">
        <v>140</v>
      </c>
      <c r="S90" t="s">
        <v>140</v>
      </c>
      <c r="T90" t="s">
        <v>140</v>
      </c>
      <c r="U90" t="s">
        <v>140</v>
      </c>
      <c r="V90" t="s">
        <v>140</v>
      </c>
      <c r="W90" t="s">
        <v>140</v>
      </c>
      <c r="X90" t="s">
        <v>140</v>
      </c>
      <c r="Y90" t="s">
        <v>140</v>
      </c>
      <c r="Z90" t="s">
        <v>140</v>
      </c>
      <c r="AA90" t="s">
        <v>140</v>
      </c>
      <c r="AB90" t="s">
        <v>140</v>
      </c>
      <c r="AC90" t="s">
        <v>140</v>
      </c>
      <c r="AD90" t="s">
        <v>140</v>
      </c>
      <c r="AE90" t="s">
        <v>140</v>
      </c>
      <c r="AF90" t="s">
        <v>140</v>
      </c>
      <c r="AG90" t="s">
        <v>140</v>
      </c>
      <c r="AH90" t="s">
        <v>140</v>
      </c>
      <c r="AI90" t="s">
        <v>140</v>
      </c>
      <c r="AJ90" t="s">
        <v>140</v>
      </c>
      <c r="AK90" t="s">
        <v>140</v>
      </c>
      <c r="AL90" t="s">
        <v>140</v>
      </c>
      <c r="AM90" t="s">
        <v>140</v>
      </c>
      <c r="AN90" t="s">
        <v>140</v>
      </c>
      <c r="AO90" t="s">
        <v>140</v>
      </c>
      <c r="AP90" t="s">
        <v>140</v>
      </c>
      <c r="AQ90" t="s">
        <v>140</v>
      </c>
      <c r="AR90" t="s">
        <v>140</v>
      </c>
      <c r="AS90" t="s">
        <v>140</v>
      </c>
      <c r="AT90" t="s">
        <v>140</v>
      </c>
      <c r="AU90" t="s">
        <v>140</v>
      </c>
      <c r="AV90" t="s">
        <v>140</v>
      </c>
      <c r="AW90" t="s">
        <v>140</v>
      </c>
      <c r="AX90" t="s">
        <v>140</v>
      </c>
      <c r="AY90" t="s">
        <v>140</v>
      </c>
      <c r="AZ90" t="s">
        <v>140</v>
      </c>
      <c r="BA90" t="s">
        <v>140</v>
      </c>
      <c r="BB90" t="s">
        <v>140</v>
      </c>
      <c r="BC90" t="s">
        <v>140</v>
      </c>
      <c r="BD90" t="s">
        <v>140</v>
      </c>
      <c r="BE90" t="s">
        <v>140</v>
      </c>
      <c r="BF90" t="s">
        <v>140</v>
      </c>
      <c r="BG90" t="s">
        <v>140</v>
      </c>
      <c r="BH90" t="s">
        <v>140</v>
      </c>
      <c r="BI90" t="s">
        <v>140</v>
      </c>
      <c r="BJ90" t="s">
        <v>140</v>
      </c>
      <c r="BK90" t="s">
        <v>140</v>
      </c>
      <c r="BL90" t="s">
        <v>140</v>
      </c>
      <c r="BM90" t="s">
        <v>140</v>
      </c>
      <c r="BN90" t="s">
        <v>140</v>
      </c>
      <c r="BO90" t="s">
        <v>140</v>
      </c>
      <c r="BP90" t="s">
        <v>140</v>
      </c>
      <c r="BQ90" t="s">
        <v>140</v>
      </c>
      <c r="BR90" t="s">
        <v>140</v>
      </c>
      <c r="BS90" t="s">
        <v>140</v>
      </c>
      <c r="BT90" t="s">
        <v>140</v>
      </c>
      <c r="BU90" t="s">
        <v>140</v>
      </c>
      <c r="BV90" t="s">
        <v>140</v>
      </c>
      <c r="BW90" t="s">
        <v>140</v>
      </c>
      <c r="BX90" t="s">
        <v>140</v>
      </c>
      <c r="BY90" t="s">
        <v>140</v>
      </c>
      <c r="BZ90" t="s">
        <v>140</v>
      </c>
      <c r="CA90" t="s">
        <v>140</v>
      </c>
      <c r="CB90" t="s">
        <v>140</v>
      </c>
      <c r="CC90" t="s">
        <v>140</v>
      </c>
      <c r="CD90" t="s">
        <v>140</v>
      </c>
      <c r="CE90" t="s">
        <v>140</v>
      </c>
      <c r="CF90" t="s">
        <v>140</v>
      </c>
      <c r="CG90" t="s">
        <v>140</v>
      </c>
      <c r="CH90" t="s">
        <v>140</v>
      </c>
      <c r="CI90" t="s">
        <v>140</v>
      </c>
      <c r="CJ90" t="s">
        <v>140</v>
      </c>
      <c r="CK90" t="s">
        <v>140</v>
      </c>
      <c r="CL90" t="s">
        <v>140</v>
      </c>
      <c r="CM90" t="s">
        <v>140</v>
      </c>
      <c r="CN90" t="s">
        <v>140</v>
      </c>
      <c r="CO90" t="s">
        <v>140</v>
      </c>
      <c r="CP90" t="s">
        <v>140</v>
      </c>
      <c r="CQ90" t="s">
        <v>140</v>
      </c>
      <c r="CR90" t="s">
        <v>140</v>
      </c>
      <c r="CS90" t="s">
        <v>140</v>
      </c>
      <c r="CT90" t="s">
        <v>140</v>
      </c>
      <c r="CU90" t="s">
        <v>140</v>
      </c>
      <c r="CV90" t="s">
        <v>140</v>
      </c>
      <c r="CW90" t="s">
        <v>140</v>
      </c>
      <c r="CX90" t="s">
        <v>140</v>
      </c>
      <c r="CY90" t="s">
        <v>140</v>
      </c>
      <c r="CZ90" t="s">
        <v>140</v>
      </c>
      <c r="DA90" t="s">
        <v>140</v>
      </c>
      <c r="DB90" t="s">
        <v>140</v>
      </c>
      <c r="DC90" s="1">
        <v>0</v>
      </c>
      <c r="DD90" s="1">
        <v>0</v>
      </c>
      <c r="DE90" s="1">
        <v>0</v>
      </c>
      <c r="DF90" s="1">
        <v>0</v>
      </c>
      <c r="DG90" s="1">
        <v>5517</v>
      </c>
      <c r="DH90" s="1">
        <v>7506</v>
      </c>
      <c r="DI90" s="1">
        <v>4945</v>
      </c>
      <c r="DJ90" s="1">
        <v>11339</v>
      </c>
      <c r="DK90" s="1">
        <v>5177</v>
      </c>
      <c r="DL90" s="1">
        <v>5273</v>
      </c>
      <c r="DM90" s="1">
        <v>8897</v>
      </c>
      <c r="DN90" s="1">
        <v>13129</v>
      </c>
      <c r="DO90" s="1">
        <v>7608</v>
      </c>
      <c r="DP90" s="1">
        <v>10771</v>
      </c>
      <c r="DQ90" s="1">
        <v>17602</v>
      </c>
      <c r="DR90" s="1">
        <v>10792</v>
      </c>
      <c r="DS90" s="1">
        <v>8683</v>
      </c>
      <c r="DT90" s="1">
        <v>9019</v>
      </c>
      <c r="DU90" s="1">
        <v>6754</v>
      </c>
      <c r="DV90" s="1">
        <v>12579</v>
      </c>
      <c r="DW90" s="1">
        <v>12921</v>
      </c>
      <c r="DX90" s="1">
        <v>36930</v>
      </c>
      <c r="DY90" s="1">
        <v>10293</v>
      </c>
      <c r="DZ90" s="1">
        <v>11944</v>
      </c>
      <c r="EA90" s="1">
        <v>7813</v>
      </c>
      <c r="EB90" s="1">
        <v>-23519</v>
      </c>
      <c r="EC90" s="1">
        <v>-3346</v>
      </c>
      <c r="ED90" s="1">
        <v>6033</v>
      </c>
    </row>
    <row r="91" spans="1:134" x14ac:dyDescent="0.25">
      <c r="A91" t="s">
        <v>210</v>
      </c>
      <c r="B91" s="1">
        <v>24</v>
      </c>
      <c r="C91" s="1">
        <v>25</v>
      </c>
      <c r="D91" s="1">
        <v>27</v>
      </c>
      <c r="E91" s="1">
        <v>20</v>
      </c>
      <c r="F91" s="1">
        <v>23</v>
      </c>
      <c r="G91" s="1">
        <v>22</v>
      </c>
      <c r="H91" s="1">
        <v>27</v>
      </c>
      <c r="I91" s="1">
        <v>20</v>
      </c>
      <c r="J91" s="1">
        <v>22</v>
      </c>
      <c r="K91" s="1">
        <v>75</v>
      </c>
      <c r="L91" s="1">
        <v>91</v>
      </c>
      <c r="M91" s="1">
        <v>0</v>
      </c>
      <c r="N91" t="s">
        <v>141</v>
      </c>
      <c r="O91" t="s">
        <v>140</v>
      </c>
      <c r="P91" t="s">
        <v>140</v>
      </c>
      <c r="Q91" t="s">
        <v>140</v>
      </c>
      <c r="R91" t="s">
        <v>140</v>
      </c>
      <c r="S91" t="s">
        <v>140</v>
      </c>
      <c r="T91" t="s">
        <v>140</v>
      </c>
      <c r="U91" t="s">
        <v>140</v>
      </c>
      <c r="V91" t="s">
        <v>140</v>
      </c>
      <c r="W91" t="s">
        <v>140</v>
      </c>
      <c r="X91" t="s">
        <v>140</v>
      </c>
      <c r="Y91" t="s">
        <v>140</v>
      </c>
      <c r="Z91" t="s">
        <v>140</v>
      </c>
      <c r="AA91" t="s">
        <v>140</v>
      </c>
      <c r="AB91" t="s">
        <v>140</v>
      </c>
      <c r="AC91" t="s">
        <v>140</v>
      </c>
      <c r="AD91" t="s">
        <v>140</v>
      </c>
      <c r="AE91" t="s">
        <v>140</v>
      </c>
      <c r="AF91" t="s">
        <v>140</v>
      </c>
      <c r="AG91" t="s">
        <v>140</v>
      </c>
      <c r="AH91" t="s">
        <v>140</v>
      </c>
      <c r="AI91" t="s">
        <v>140</v>
      </c>
      <c r="AJ91" t="s">
        <v>140</v>
      </c>
      <c r="AK91" t="s">
        <v>140</v>
      </c>
      <c r="AL91" t="s">
        <v>140</v>
      </c>
      <c r="AM91" t="s">
        <v>140</v>
      </c>
      <c r="AN91" t="s">
        <v>140</v>
      </c>
      <c r="AO91" t="s">
        <v>140</v>
      </c>
      <c r="AP91" t="s">
        <v>140</v>
      </c>
      <c r="AQ91" t="s">
        <v>140</v>
      </c>
      <c r="AR91" t="s">
        <v>140</v>
      </c>
      <c r="AS91" t="s">
        <v>140</v>
      </c>
      <c r="AT91" t="s">
        <v>140</v>
      </c>
      <c r="AU91" t="s">
        <v>140</v>
      </c>
      <c r="AV91" t="s">
        <v>140</v>
      </c>
      <c r="AW91" t="s">
        <v>140</v>
      </c>
      <c r="AX91" t="s">
        <v>140</v>
      </c>
      <c r="AY91" t="s">
        <v>140</v>
      </c>
      <c r="AZ91" t="s">
        <v>140</v>
      </c>
      <c r="BA91" t="s">
        <v>140</v>
      </c>
      <c r="BB91" t="s">
        <v>140</v>
      </c>
      <c r="BC91" t="s">
        <v>140</v>
      </c>
      <c r="BD91" t="s">
        <v>140</v>
      </c>
      <c r="BE91" t="s">
        <v>140</v>
      </c>
      <c r="BF91" t="s">
        <v>140</v>
      </c>
      <c r="BG91" t="s">
        <v>140</v>
      </c>
      <c r="BH91" t="s">
        <v>140</v>
      </c>
      <c r="BI91" t="s">
        <v>140</v>
      </c>
      <c r="BJ91" t="s">
        <v>140</v>
      </c>
      <c r="BK91" t="s">
        <v>140</v>
      </c>
      <c r="BL91" t="s">
        <v>140</v>
      </c>
      <c r="BM91" t="s">
        <v>140</v>
      </c>
      <c r="BN91" t="s">
        <v>140</v>
      </c>
      <c r="BO91" t="s">
        <v>140</v>
      </c>
      <c r="BP91" t="s">
        <v>140</v>
      </c>
      <c r="BQ91" t="s">
        <v>140</v>
      </c>
      <c r="BR91" t="s">
        <v>140</v>
      </c>
      <c r="BS91" t="s">
        <v>140</v>
      </c>
      <c r="BT91" t="s">
        <v>140</v>
      </c>
      <c r="BU91" t="s">
        <v>140</v>
      </c>
      <c r="BV91" t="s">
        <v>140</v>
      </c>
      <c r="BW91" t="s">
        <v>140</v>
      </c>
      <c r="BX91" t="s">
        <v>140</v>
      </c>
      <c r="BY91" t="s">
        <v>140</v>
      </c>
      <c r="BZ91" t="s">
        <v>140</v>
      </c>
      <c r="CA91" t="s">
        <v>140</v>
      </c>
      <c r="CB91" t="s">
        <v>140</v>
      </c>
      <c r="CC91" t="s">
        <v>140</v>
      </c>
      <c r="CD91" t="s">
        <v>140</v>
      </c>
      <c r="CE91" t="s">
        <v>140</v>
      </c>
      <c r="CF91" t="s">
        <v>140</v>
      </c>
      <c r="CG91" t="s">
        <v>140</v>
      </c>
      <c r="CH91" t="s">
        <v>140</v>
      </c>
      <c r="CI91" t="s">
        <v>140</v>
      </c>
      <c r="CJ91" t="s">
        <v>140</v>
      </c>
      <c r="CK91" t="s">
        <v>140</v>
      </c>
      <c r="CL91" t="s">
        <v>140</v>
      </c>
      <c r="CM91" t="s">
        <v>140</v>
      </c>
      <c r="CN91" t="s">
        <v>140</v>
      </c>
      <c r="CO91" t="s">
        <v>140</v>
      </c>
      <c r="CP91" t="s">
        <v>140</v>
      </c>
      <c r="CQ91" t="s">
        <v>140</v>
      </c>
      <c r="CR91" t="s">
        <v>140</v>
      </c>
      <c r="CS91" t="s">
        <v>140</v>
      </c>
      <c r="CT91" t="s">
        <v>140</v>
      </c>
      <c r="CU91" t="s">
        <v>140</v>
      </c>
      <c r="CV91" t="s">
        <v>140</v>
      </c>
      <c r="CW91" t="s">
        <v>140</v>
      </c>
      <c r="CX91" t="s">
        <v>140</v>
      </c>
      <c r="CY91" t="s">
        <v>140</v>
      </c>
      <c r="CZ91" t="s">
        <v>140</v>
      </c>
      <c r="DA91" t="s">
        <v>140</v>
      </c>
      <c r="DB91" t="s">
        <v>140</v>
      </c>
      <c r="DC91" s="1">
        <v>0</v>
      </c>
      <c r="DD91" s="1">
        <v>0</v>
      </c>
      <c r="DE91" s="1">
        <v>0</v>
      </c>
      <c r="DF91" s="1">
        <v>0</v>
      </c>
      <c r="DG91" s="1">
        <v>0</v>
      </c>
      <c r="DH91" s="1">
        <v>0</v>
      </c>
      <c r="DI91" s="1">
        <v>0</v>
      </c>
      <c r="DJ91" s="1">
        <v>0</v>
      </c>
      <c r="DK91" s="1">
        <v>0</v>
      </c>
      <c r="DL91" s="1">
        <v>0</v>
      </c>
      <c r="DM91" s="1">
        <v>0</v>
      </c>
      <c r="DN91" s="1">
        <v>0</v>
      </c>
      <c r="DO91" s="1">
        <v>0</v>
      </c>
      <c r="DP91" s="1">
        <v>0</v>
      </c>
      <c r="DQ91" s="1">
        <v>0</v>
      </c>
      <c r="DR91" s="1">
        <v>0</v>
      </c>
      <c r="DS91" s="1">
        <v>0</v>
      </c>
      <c r="DT91" s="1">
        <v>0</v>
      </c>
      <c r="DU91" s="1">
        <v>0</v>
      </c>
      <c r="DV91" s="1">
        <v>0</v>
      </c>
      <c r="DW91" s="1">
        <v>0</v>
      </c>
      <c r="DX91" s="1">
        <v>0</v>
      </c>
      <c r="DY91" s="1">
        <v>0</v>
      </c>
      <c r="DZ91" s="1">
        <v>0</v>
      </c>
      <c r="EA91" s="1">
        <v>0</v>
      </c>
      <c r="EB91" s="1">
        <v>0</v>
      </c>
      <c r="EC91" s="1">
        <v>0</v>
      </c>
      <c r="ED91" s="1">
        <v>0</v>
      </c>
    </row>
    <row r="92" spans="1:134" x14ac:dyDescent="0.25">
      <c r="A92" t="s">
        <v>211</v>
      </c>
      <c r="B92" s="1">
        <v>16308</v>
      </c>
      <c r="C92" s="1">
        <v>10475</v>
      </c>
      <c r="D92" s="1">
        <v>22053</v>
      </c>
      <c r="E92" s="1">
        <v>18399</v>
      </c>
      <c r="F92" s="1">
        <v>28417</v>
      </c>
      <c r="G92" s="1">
        <v>17724</v>
      </c>
      <c r="H92" s="1">
        <v>19360</v>
      </c>
      <c r="I92" s="1">
        <v>49871</v>
      </c>
      <c r="J92" s="1">
        <v>22259</v>
      </c>
      <c r="K92" s="1">
        <v>-15631</v>
      </c>
      <c r="L92" s="1">
        <v>2778</v>
      </c>
      <c r="M92" s="1">
        <v>2687</v>
      </c>
      <c r="N92" t="s">
        <v>141</v>
      </c>
      <c r="O92" t="s">
        <v>140</v>
      </c>
      <c r="P92" t="s">
        <v>140</v>
      </c>
      <c r="Q92" t="s">
        <v>140</v>
      </c>
      <c r="R92" t="s">
        <v>140</v>
      </c>
      <c r="S92" t="s">
        <v>140</v>
      </c>
      <c r="T92" t="s">
        <v>140</v>
      </c>
      <c r="U92" t="s">
        <v>140</v>
      </c>
      <c r="V92" t="s">
        <v>140</v>
      </c>
      <c r="W92" t="s">
        <v>140</v>
      </c>
      <c r="X92" t="s">
        <v>140</v>
      </c>
      <c r="Y92" t="s">
        <v>140</v>
      </c>
      <c r="Z92" t="s">
        <v>140</v>
      </c>
      <c r="AA92" t="s">
        <v>140</v>
      </c>
      <c r="AB92" t="s">
        <v>140</v>
      </c>
      <c r="AC92" t="s">
        <v>140</v>
      </c>
      <c r="AD92" t="s">
        <v>140</v>
      </c>
      <c r="AE92" t="s">
        <v>140</v>
      </c>
      <c r="AF92" t="s">
        <v>140</v>
      </c>
      <c r="AG92" t="s">
        <v>140</v>
      </c>
      <c r="AH92" t="s">
        <v>140</v>
      </c>
      <c r="AI92" t="s">
        <v>140</v>
      </c>
      <c r="AJ92" t="s">
        <v>140</v>
      </c>
      <c r="AK92" t="s">
        <v>140</v>
      </c>
      <c r="AL92" t="s">
        <v>140</v>
      </c>
      <c r="AM92" t="s">
        <v>140</v>
      </c>
      <c r="AN92" t="s">
        <v>140</v>
      </c>
      <c r="AO92" t="s">
        <v>140</v>
      </c>
      <c r="AP92" t="s">
        <v>140</v>
      </c>
      <c r="AQ92" t="s">
        <v>140</v>
      </c>
      <c r="AR92" t="s">
        <v>140</v>
      </c>
      <c r="AS92" t="s">
        <v>140</v>
      </c>
      <c r="AT92" t="s">
        <v>140</v>
      </c>
      <c r="AU92" t="s">
        <v>140</v>
      </c>
      <c r="AV92" t="s">
        <v>140</v>
      </c>
      <c r="AW92" t="s">
        <v>140</v>
      </c>
      <c r="AX92" t="s">
        <v>140</v>
      </c>
      <c r="AY92" t="s">
        <v>140</v>
      </c>
      <c r="AZ92" t="s">
        <v>140</v>
      </c>
      <c r="BA92" t="s">
        <v>140</v>
      </c>
      <c r="BB92" t="s">
        <v>140</v>
      </c>
      <c r="BC92" t="s">
        <v>140</v>
      </c>
      <c r="BD92" t="s">
        <v>140</v>
      </c>
      <c r="BE92" t="s">
        <v>140</v>
      </c>
      <c r="BF92" t="s">
        <v>140</v>
      </c>
      <c r="BG92" t="s">
        <v>140</v>
      </c>
      <c r="BH92" t="s">
        <v>140</v>
      </c>
      <c r="BI92" t="s">
        <v>140</v>
      </c>
      <c r="BJ92" t="s">
        <v>140</v>
      </c>
      <c r="BK92" t="s">
        <v>140</v>
      </c>
      <c r="BL92" t="s">
        <v>140</v>
      </c>
      <c r="BM92" t="s">
        <v>140</v>
      </c>
      <c r="BN92" t="s">
        <v>140</v>
      </c>
      <c r="BO92" t="s">
        <v>140</v>
      </c>
      <c r="BP92" t="s">
        <v>140</v>
      </c>
      <c r="BQ92" t="s">
        <v>140</v>
      </c>
      <c r="BR92" t="s">
        <v>140</v>
      </c>
      <c r="BS92" t="s">
        <v>140</v>
      </c>
      <c r="BT92" t="s">
        <v>140</v>
      </c>
      <c r="BU92" t="s">
        <v>140</v>
      </c>
      <c r="BV92" t="s">
        <v>140</v>
      </c>
      <c r="BW92" t="s">
        <v>140</v>
      </c>
      <c r="BX92" t="s">
        <v>140</v>
      </c>
      <c r="BY92" t="s">
        <v>140</v>
      </c>
      <c r="BZ92" t="s">
        <v>140</v>
      </c>
      <c r="CA92" t="s">
        <v>140</v>
      </c>
      <c r="CB92" t="s">
        <v>140</v>
      </c>
      <c r="CC92" t="s">
        <v>140</v>
      </c>
      <c r="CD92" t="s">
        <v>140</v>
      </c>
      <c r="CE92" t="s">
        <v>140</v>
      </c>
      <c r="CF92" t="s">
        <v>140</v>
      </c>
      <c r="CG92" t="s">
        <v>140</v>
      </c>
      <c r="CH92" t="s">
        <v>140</v>
      </c>
      <c r="CI92" t="s">
        <v>140</v>
      </c>
      <c r="CJ92" t="s">
        <v>140</v>
      </c>
      <c r="CK92" t="s">
        <v>140</v>
      </c>
      <c r="CL92" t="s">
        <v>140</v>
      </c>
      <c r="CM92" t="s">
        <v>140</v>
      </c>
      <c r="CN92" t="s">
        <v>140</v>
      </c>
      <c r="CO92" t="s">
        <v>140</v>
      </c>
      <c r="CP92" t="s">
        <v>140</v>
      </c>
      <c r="CQ92" t="s">
        <v>140</v>
      </c>
      <c r="CR92" t="s">
        <v>140</v>
      </c>
      <c r="CS92" t="s">
        <v>140</v>
      </c>
      <c r="CT92" t="s">
        <v>140</v>
      </c>
      <c r="CU92" t="s">
        <v>140</v>
      </c>
      <c r="CV92" t="s">
        <v>140</v>
      </c>
      <c r="CW92" t="s">
        <v>140</v>
      </c>
      <c r="CX92" t="s">
        <v>140</v>
      </c>
      <c r="CY92" t="s">
        <v>140</v>
      </c>
      <c r="CZ92" t="s">
        <v>140</v>
      </c>
      <c r="DA92" t="s">
        <v>140</v>
      </c>
      <c r="DB92" t="s">
        <v>140</v>
      </c>
      <c r="DC92" s="1">
        <v>0</v>
      </c>
      <c r="DD92" s="1">
        <v>0</v>
      </c>
      <c r="DE92" s="1">
        <v>0</v>
      </c>
      <c r="DF92" s="1">
        <v>0</v>
      </c>
      <c r="DG92" s="1">
        <v>5517</v>
      </c>
      <c r="DH92" s="1">
        <v>7506</v>
      </c>
      <c r="DI92" s="1">
        <v>4945</v>
      </c>
      <c r="DJ92" s="1">
        <v>11339</v>
      </c>
      <c r="DK92" s="1">
        <v>5177</v>
      </c>
      <c r="DL92" s="1">
        <v>5273</v>
      </c>
      <c r="DM92" s="1">
        <v>8897</v>
      </c>
      <c r="DN92" s="1">
        <v>13129</v>
      </c>
      <c r="DO92" s="1">
        <v>7608</v>
      </c>
      <c r="DP92" s="1">
        <v>10771</v>
      </c>
      <c r="DQ92" s="1">
        <v>17602</v>
      </c>
      <c r="DR92" s="1">
        <v>10792</v>
      </c>
      <c r="DS92" s="1">
        <v>8683</v>
      </c>
      <c r="DT92" s="1">
        <v>9019</v>
      </c>
      <c r="DU92" s="1">
        <v>6754</v>
      </c>
      <c r="DV92" s="1">
        <v>12579</v>
      </c>
      <c r="DW92" s="1">
        <v>12921</v>
      </c>
      <c r="DX92" s="1">
        <v>36930</v>
      </c>
      <c r="DY92" s="1">
        <v>10293</v>
      </c>
      <c r="DZ92" s="1">
        <v>11944</v>
      </c>
      <c r="EA92" s="1">
        <v>7813</v>
      </c>
      <c r="EB92" s="1">
        <v>-23519</v>
      </c>
      <c r="EC92" s="1">
        <v>-3346</v>
      </c>
      <c r="ED92" s="1">
        <v>6033</v>
      </c>
    </row>
    <row r="93" spans="1:134" ht="18.75" x14ac:dyDescent="0.3">
      <c r="A93" s="3" t="s">
        <v>405</v>
      </c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DC93" s="1"/>
      <c r="DD93" s="1"/>
      <c r="DE93" s="1"/>
      <c r="DF93" s="1"/>
      <c r="DG93" s="1"/>
      <c r="DH93" s="1"/>
      <c r="DI93" s="1"/>
      <c r="DJ93" s="1"/>
      <c r="DK93" s="1"/>
      <c r="DL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X93" s="1"/>
      <c r="DY93" s="1"/>
      <c r="DZ93" s="1"/>
      <c r="EA93" s="1"/>
      <c r="EB93" s="1"/>
      <c r="EC93" s="1"/>
      <c r="ED93" s="1"/>
    </row>
    <row r="94" spans="1:134" x14ac:dyDescent="0.25">
      <c r="A94" t="s">
        <v>212</v>
      </c>
      <c r="B94" s="1">
        <v>699</v>
      </c>
      <c r="C94" s="1">
        <v>150</v>
      </c>
      <c r="D94" s="1">
        <v>1657</v>
      </c>
      <c r="E94" s="1">
        <v>560</v>
      </c>
      <c r="F94" s="1">
        <v>2233</v>
      </c>
      <c r="G94" s="1">
        <v>336</v>
      </c>
      <c r="H94" s="1">
        <v>535</v>
      </c>
      <c r="I94" s="1">
        <v>3164</v>
      </c>
      <c r="J94" s="1">
        <v>2694</v>
      </c>
      <c r="K94" s="1">
        <v>7877</v>
      </c>
      <c r="L94" s="1">
        <v>2530</v>
      </c>
      <c r="M94" s="1">
        <v>2530</v>
      </c>
      <c r="N94" t="s">
        <v>141</v>
      </c>
      <c r="O94" t="s">
        <v>140</v>
      </c>
      <c r="P94" t="s">
        <v>140</v>
      </c>
      <c r="Q94" t="s">
        <v>140</v>
      </c>
      <c r="R94" t="s">
        <v>140</v>
      </c>
      <c r="S94" t="s">
        <v>140</v>
      </c>
      <c r="T94" t="s">
        <v>140</v>
      </c>
      <c r="U94" t="s">
        <v>140</v>
      </c>
      <c r="V94" t="s">
        <v>140</v>
      </c>
      <c r="W94" t="s">
        <v>140</v>
      </c>
      <c r="X94" t="s">
        <v>140</v>
      </c>
      <c r="Y94" t="s">
        <v>140</v>
      </c>
      <c r="Z94" t="s">
        <v>140</v>
      </c>
      <c r="AA94" t="s">
        <v>140</v>
      </c>
      <c r="AB94" t="s">
        <v>140</v>
      </c>
      <c r="AC94" t="s">
        <v>140</v>
      </c>
      <c r="AD94" t="s">
        <v>140</v>
      </c>
      <c r="AE94" t="s">
        <v>140</v>
      </c>
      <c r="AF94" t="s">
        <v>140</v>
      </c>
      <c r="AG94" t="s">
        <v>140</v>
      </c>
      <c r="AH94" t="s">
        <v>140</v>
      </c>
      <c r="AI94" t="s">
        <v>140</v>
      </c>
      <c r="AJ94" t="s">
        <v>140</v>
      </c>
      <c r="AK94" t="s">
        <v>140</v>
      </c>
      <c r="AL94" t="s">
        <v>140</v>
      </c>
      <c r="AM94" t="s">
        <v>140</v>
      </c>
      <c r="AN94" t="s">
        <v>140</v>
      </c>
      <c r="AO94" t="s">
        <v>140</v>
      </c>
      <c r="AP94" t="s">
        <v>140</v>
      </c>
      <c r="AQ94" t="s">
        <v>140</v>
      </c>
      <c r="AR94" t="s">
        <v>140</v>
      </c>
      <c r="AS94" t="s">
        <v>140</v>
      </c>
      <c r="AT94" t="s">
        <v>140</v>
      </c>
      <c r="AU94" t="s">
        <v>140</v>
      </c>
      <c r="AV94" t="s">
        <v>140</v>
      </c>
      <c r="AW94" t="s">
        <v>140</v>
      </c>
      <c r="AX94" t="s">
        <v>140</v>
      </c>
      <c r="AY94" t="s">
        <v>140</v>
      </c>
      <c r="AZ94" t="s">
        <v>140</v>
      </c>
      <c r="BA94" t="s">
        <v>140</v>
      </c>
      <c r="BB94" t="s">
        <v>140</v>
      </c>
      <c r="BC94" t="s">
        <v>140</v>
      </c>
      <c r="BD94" t="s">
        <v>140</v>
      </c>
      <c r="BE94" t="s">
        <v>140</v>
      </c>
      <c r="BF94" t="s">
        <v>140</v>
      </c>
      <c r="BG94" t="s">
        <v>140</v>
      </c>
      <c r="BH94" t="s">
        <v>140</v>
      </c>
      <c r="BI94" t="s">
        <v>140</v>
      </c>
      <c r="BJ94" t="s">
        <v>140</v>
      </c>
      <c r="BK94" t="s">
        <v>140</v>
      </c>
      <c r="BL94" t="s">
        <v>140</v>
      </c>
      <c r="BM94" t="s">
        <v>140</v>
      </c>
      <c r="BN94" t="s">
        <v>140</v>
      </c>
      <c r="BO94" t="s">
        <v>140</v>
      </c>
      <c r="BP94" t="s">
        <v>140</v>
      </c>
      <c r="BQ94" t="s">
        <v>140</v>
      </c>
      <c r="BR94" t="s">
        <v>140</v>
      </c>
      <c r="BS94" t="s">
        <v>140</v>
      </c>
      <c r="BT94" t="s">
        <v>140</v>
      </c>
      <c r="BU94" t="s">
        <v>140</v>
      </c>
      <c r="BV94" t="s">
        <v>140</v>
      </c>
      <c r="BW94" t="s">
        <v>140</v>
      </c>
      <c r="BX94" t="s">
        <v>140</v>
      </c>
      <c r="BY94" t="s">
        <v>140</v>
      </c>
      <c r="BZ94" t="s">
        <v>140</v>
      </c>
      <c r="CA94" t="s">
        <v>140</v>
      </c>
      <c r="CB94" t="s">
        <v>140</v>
      </c>
      <c r="CC94" t="s">
        <v>140</v>
      </c>
      <c r="CD94" t="s">
        <v>140</v>
      </c>
      <c r="CE94" t="s">
        <v>140</v>
      </c>
      <c r="CF94" t="s">
        <v>140</v>
      </c>
      <c r="CG94" t="s">
        <v>140</v>
      </c>
      <c r="CH94" t="s">
        <v>140</v>
      </c>
      <c r="CI94" t="s">
        <v>140</v>
      </c>
      <c r="CJ94" t="s">
        <v>140</v>
      </c>
      <c r="CK94" t="s">
        <v>140</v>
      </c>
      <c r="CL94" t="s">
        <v>140</v>
      </c>
      <c r="CM94" t="s">
        <v>140</v>
      </c>
      <c r="CN94" t="s">
        <v>140</v>
      </c>
      <c r="CO94" t="s">
        <v>140</v>
      </c>
      <c r="CP94" t="s">
        <v>140</v>
      </c>
      <c r="CQ94" t="s">
        <v>140</v>
      </c>
      <c r="CR94" t="s">
        <v>140</v>
      </c>
      <c r="CS94" t="s">
        <v>140</v>
      </c>
      <c r="CT94" t="s">
        <v>140</v>
      </c>
      <c r="CU94" t="s">
        <v>140</v>
      </c>
      <c r="CV94" t="s">
        <v>140</v>
      </c>
      <c r="CW94" t="s">
        <v>140</v>
      </c>
      <c r="CX94" t="s">
        <v>140</v>
      </c>
      <c r="CY94" t="s">
        <v>140</v>
      </c>
      <c r="CZ94" t="s">
        <v>140</v>
      </c>
      <c r="DA94" t="s">
        <v>140</v>
      </c>
      <c r="DB94" t="s">
        <v>140</v>
      </c>
      <c r="DC94" s="1">
        <v>314</v>
      </c>
      <c r="DD94" s="1">
        <v>53</v>
      </c>
      <c r="DE94" s="1">
        <v>117</v>
      </c>
      <c r="DF94" s="1">
        <v>508</v>
      </c>
      <c r="DG94" s="1">
        <v>0</v>
      </c>
      <c r="DH94" s="1">
        <v>633</v>
      </c>
      <c r="DI94" s="1">
        <v>907</v>
      </c>
      <c r="DJ94" s="1">
        <v>699</v>
      </c>
      <c r="DK94" s="1">
        <v>1075</v>
      </c>
      <c r="DL94" s="1">
        <v>150</v>
      </c>
      <c r="DM94" s="1">
        <v>118</v>
      </c>
      <c r="DN94" s="1">
        <v>1657</v>
      </c>
      <c r="DO94" s="1">
        <v>126</v>
      </c>
      <c r="DP94" s="1">
        <v>560</v>
      </c>
      <c r="DQ94" s="1">
        <v>1967</v>
      </c>
      <c r="DR94" s="1">
        <v>2233</v>
      </c>
      <c r="DS94" s="1">
        <v>494</v>
      </c>
      <c r="DT94" s="1">
        <v>336</v>
      </c>
      <c r="DU94" s="1">
        <v>412</v>
      </c>
      <c r="DV94" s="1">
        <v>535</v>
      </c>
      <c r="DW94" s="1">
        <v>515</v>
      </c>
      <c r="DX94" s="1">
        <v>3164</v>
      </c>
      <c r="DY94" s="1">
        <v>1200</v>
      </c>
      <c r="DZ94" s="1">
        <v>2694</v>
      </c>
      <c r="EA94" s="1">
        <v>2553</v>
      </c>
      <c r="EB94" s="1">
        <v>7877</v>
      </c>
      <c r="EC94" s="1">
        <v>1814</v>
      </c>
      <c r="ED94" s="1">
        <v>2530</v>
      </c>
    </row>
    <row r="95" spans="1:134" x14ac:dyDescent="0.25">
      <c r="A95" t="s">
        <v>213</v>
      </c>
      <c r="B95" s="1">
        <v>155</v>
      </c>
      <c r="C95" s="1">
        <v>1562</v>
      </c>
      <c r="D95" s="1">
        <v>1495</v>
      </c>
      <c r="E95" s="1">
        <v>2234</v>
      </c>
      <c r="F95" s="1">
        <v>1215</v>
      </c>
      <c r="G95" s="1">
        <v>118</v>
      </c>
      <c r="H95" s="1">
        <v>150</v>
      </c>
      <c r="I95" s="1">
        <v>8525</v>
      </c>
      <c r="J95" s="1">
        <v>4095</v>
      </c>
      <c r="K95" s="1">
        <v>0</v>
      </c>
      <c r="L95" s="1">
        <v>0</v>
      </c>
      <c r="M95" s="1">
        <v>0</v>
      </c>
      <c r="N95" t="s">
        <v>141</v>
      </c>
      <c r="O95" t="s">
        <v>140</v>
      </c>
      <c r="P95" t="s">
        <v>140</v>
      </c>
      <c r="Q95" t="s">
        <v>140</v>
      </c>
      <c r="R95" t="s">
        <v>140</v>
      </c>
      <c r="S95" t="s">
        <v>140</v>
      </c>
      <c r="T95" t="s">
        <v>140</v>
      </c>
      <c r="U95" t="s">
        <v>140</v>
      </c>
      <c r="V95" t="s">
        <v>140</v>
      </c>
      <c r="W95" t="s">
        <v>140</v>
      </c>
      <c r="X95" t="s">
        <v>140</v>
      </c>
      <c r="Y95" t="s">
        <v>140</v>
      </c>
      <c r="Z95" t="s">
        <v>140</v>
      </c>
      <c r="AA95" t="s">
        <v>140</v>
      </c>
      <c r="AB95" t="s">
        <v>140</v>
      </c>
      <c r="AC95" t="s">
        <v>140</v>
      </c>
      <c r="AD95" t="s">
        <v>140</v>
      </c>
      <c r="AE95" t="s">
        <v>140</v>
      </c>
      <c r="AF95" t="s">
        <v>140</v>
      </c>
      <c r="AG95" t="s">
        <v>140</v>
      </c>
      <c r="AH95" t="s">
        <v>140</v>
      </c>
      <c r="AI95" t="s">
        <v>140</v>
      </c>
      <c r="AJ95" t="s">
        <v>140</v>
      </c>
      <c r="AK95" t="s">
        <v>140</v>
      </c>
      <c r="AL95" t="s">
        <v>140</v>
      </c>
      <c r="AM95" t="s">
        <v>140</v>
      </c>
      <c r="AN95" t="s">
        <v>140</v>
      </c>
      <c r="AO95" t="s">
        <v>140</v>
      </c>
      <c r="AP95" t="s">
        <v>140</v>
      </c>
      <c r="AQ95" t="s">
        <v>140</v>
      </c>
      <c r="AR95" t="s">
        <v>140</v>
      </c>
      <c r="AS95" t="s">
        <v>140</v>
      </c>
      <c r="AT95" t="s">
        <v>140</v>
      </c>
      <c r="AU95" t="s">
        <v>140</v>
      </c>
      <c r="AV95" t="s">
        <v>140</v>
      </c>
      <c r="AW95" t="s">
        <v>140</v>
      </c>
      <c r="AX95" t="s">
        <v>140</v>
      </c>
      <c r="AY95" t="s">
        <v>140</v>
      </c>
      <c r="AZ95" t="s">
        <v>140</v>
      </c>
      <c r="BA95" t="s">
        <v>140</v>
      </c>
      <c r="BB95" t="s">
        <v>140</v>
      </c>
      <c r="BC95" t="s">
        <v>140</v>
      </c>
      <c r="BD95" t="s">
        <v>140</v>
      </c>
      <c r="BE95" t="s">
        <v>140</v>
      </c>
      <c r="BF95" t="s">
        <v>140</v>
      </c>
      <c r="BG95" t="s">
        <v>140</v>
      </c>
      <c r="BH95" t="s">
        <v>140</v>
      </c>
      <c r="BI95" t="s">
        <v>140</v>
      </c>
      <c r="BJ95" t="s">
        <v>140</v>
      </c>
      <c r="BK95" t="s">
        <v>140</v>
      </c>
      <c r="BL95" t="s">
        <v>140</v>
      </c>
      <c r="BM95" t="s">
        <v>140</v>
      </c>
      <c r="BN95" t="s">
        <v>140</v>
      </c>
      <c r="BO95" t="s">
        <v>140</v>
      </c>
      <c r="BP95" t="s">
        <v>140</v>
      </c>
      <c r="BQ95" t="s">
        <v>140</v>
      </c>
      <c r="BR95" t="s">
        <v>140</v>
      </c>
      <c r="BS95" t="s">
        <v>140</v>
      </c>
      <c r="BT95" t="s">
        <v>140</v>
      </c>
      <c r="BU95" t="s">
        <v>140</v>
      </c>
      <c r="BV95" t="s">
        <v>140</v>
      </c>
      <c r="BW95" t="s">
        <v>140</v>
      </c>
      <c r="BX95" t="s">
        <v>140</v>
      </c>
      <c r="BY95" t="s">
        <v>140</v>
      </c>
      <c r="BZ95" t="s">
        <v>140</v>
      </c>
      <c r="CA95" t="s">
        <v>140</v>
      </c>
      <c r="CB95" t="s">
        <v>140</v>
      </c>
      <c r="CC95" t="s">
        <v>140</v>
      </c>
      <c r="CD95" t="s">
        <v>140</v>
      </c>
      <c r="CE95" t="s">
        <v>140</v>
      </c>
      <c r="CF95" t="s">
        <v>140</v>
      </c>
      <c r="CG95" t="s">
        <v>140</v>
      </c>
      <c r="CH95" t="s">
        <v>140</v>
      </c>
      <c r="CI95" t="s">
        <v>140</v>
      </c>
      <c r="CJ95" t="s">
        <v>140</v>
      </c>
      <c r="CK95" t="s">
        <v>140</v>
      </c>
      <c r="CL95" t="s">
        <v>140</v>
      </c>
      <c r="CM95" t="s">
        <v>140</v>
      </c>
      <c r="CN95" t="s">
        <v>140</v>
      </c>
      <c r="CO95" t="s">
        <v>140</v>
      </c>
      <c r="CP95" t="s">
        <v>140</v>
      </c>
      <c r="CQ95" t="s">
        <v>140</v>
      </c>
      <c r="CR95" t="s">
        <v>140</v>
      </c>
      <c r="CS95" t="s">
        <v>140</v>
      </c>
      <c r="CT95" t="s">
        <v>140</v>
      </c>
      <c r="CU95" t="s">
        <v>140</v>
      </c>
      <c r="CV95" t="s">
        <v>140</v>
      </c>
      <c r="CW95" t="s">
        <v>140</v>
      </c>
      <c r="CX95" t="s">
        <v>140</v>
      </c>
      <c r="CY95" t="s">
        <v>140</v>
      </c>
      <c r="CZ95" t="s">
        <v>140</v>
      </c>
      <c r="DA95" t="s">
        <v>140</v>
      </c>
      <c r="DB95" t="s">
        <v>140</v>
      </c>
      <c r="DC95" s="1">
        <v>453</v>
      </c>
      <c r="DD95" s="1">
        <v>1475</v>
      </c>
      <c r="DE95" s="1">
        <v>1753</v>
      </c>
      <c r="DF95" s="1">
        <v>722</v>
      </c>
      <c r="DG95" s="1">
        <v>0</v>
      </c>
      <c r="DH95" s="1">
        <v>243</v>
      </c>
      <c r="DI95" s="1">
        <v>0</v>
      </c>
      <c r="DJ95" s="1">
        <v>155</v>
      </c>
      <c r="DK95" s="1">
        <v>1061</v>
      </c>
      <c r="DL95" s="1">
        <v>1562</v>
      </c>
      <c r="DM95" s="1">
        <v>2600</v>
      </c>
      <c r="DN95" s="1">
        <v>1495</v>
      </c>
      <c r="DO95" s="1">
        <v>2427</v>
      </c>
      <c r="DP95" s="1">
        <v>2234</v>
      </c>
      <c r="DQ95" s="1">
        <v>1614</v>
      </c>
      <c r="DR95" s="1">
        <v>1215</v>
      </c>
      <c r="DS95" s="1">
        <v>25</v>
      </c>
      <c r="DT95" s="1">
        <v>118</v>
      </c>
      <c r="DU95" s="1">
        <v>92</v>
      </c>
      <c r="DV95" s="1">
        <v>150</v>
      </c>
      <c r="DW95" s="1">
        <v>100</v>
      </c>
      <c r="DX95" s="1">
        <v>8525</v>
      </c>
      <c r="DY95" s="1">
        <v>2650</v>
      </c>
      <c r="DZ95" s="1">
        <v>4095</v>
      </c>
      <c r="EA95" s="1">
        <v>3700</v>
      </c>
      <c r="EB95" s="1">
        <v>0</v>
      </c>
      <c r="EC95" s="1">
        <v>0</v>
      </c>
      <c r="ED95" s="1">
        <v>0</v>
      </c>
    </row>
    <row r="96" spans="1:134" x14ac:dyDescent="0.25">
      <c r="A96" t="s">
        <v>214</v>
      </c>
      <c r="B96" s="1">
        <v>854</v>
      </c>
      <c r="C96" s="1">
        <v>1712</v>
      </c>
      <c r="D96" s="1">
        <v>3152</v>
      </c>
      <c r="E96" s="1">
        <v>2794</v>
      </c>
      <c r="F96" s="1">
        <v>3448</v>
      </c>
      <c r="G96" s="1">
        <v>454</v>
      </c>
      <c r="H96" s="1">
        <v>685</v>
      </c>
      <c r="I96" s="1">
        <v>11689</v>
      </c>
      <c r="J96" s="1">
        <v>6789</v>
      </c>
      <c r="K96" s="1">
        <v>7877</v>
      </c>
      <c r="L96" s="1">
        <v>2530</v>
      </c>
      <c r="M96" s="1">
        <v>2530</v>
      </c>
      <c r="N96" t="s">
        <v>141</v>
      </c>
      <c r="O96" t="s">
        <v>140</v>
      </c>
      <c r="P96" t="s">
        <v>140</v>
      </c>
      <c r="Q96" t="s">
        <v>140</v>
      </c>
      <c r="R96" t="s">
        <v>140</v>
      </c>
      <c r="S96" t="s">
        <v>140</v>
      </c>
      <c r="T96" t="s">
        <v>140</v>
      </c>
      <c r="U96" t="s">
        <v>140</v>
      </c>
      <c r="V96" t="s">
        <v>140</v>
      </c>
      <c r="W96" t="s">
        <v>140</v>
      </c>
      <c r="X96" t="s">
        <v>140</v>
      </c>
      <c r="Y96" t="s">
        <v>140</v>
      </c>
      <c r="Z96" t="s">
        <v>140</v>
      </c>
      <c r="AA96" t="s">
        <v>140</v>
      </c>
      <c r="AB96" t="s">
        <v>140</v>
      </c>
      <c r="AC96" t="s">
        <v>140</v>
      </c>
      <c r="AD96" t="s">
        <v>140</v>
      </c>
      <c r="AE96" t="s">
        <v>140</v>
      </c>
      <c r="AF96" t="s">
        <v>140</v>
      </c>
      <c r="AG96" t="s">
        <v>140</v>
      </c>
      <c r="AH96" t="s">
        <v>140</v>
      </c>
      <c r="AI96" t="s">
        <v>140</v>
      </c>
      <c r="AJ96" t="s">
        <v>140</v>
      </c>
      <c r="AK96" t="s">
        <v>140</v>
      </c>
      <c r="AL96" t="s">
        <v>140</v>
      </c>
      <c r="AM96" t="s">
        <v>140</v>
      </c>
      <c r="AN96" t="s">
        <v>140</v>
      </c>
      <c r="AO96" t="s">
        <v>140</v>
      </c>
      <c r="AP96" t="s">
        <v>140</v>
      </c>
      <c r="AQ96" t="s">
        <v>140</v>
      </c>
      <c r="AR96" t="s">
        <v>140</v>
      </c>
      <c r="AS96" t="s">
        <v>140</v>
      </c>
      <c r="AT96" t="s">
        <v>140</v>
      </c>
      <c r="AU96" t="s">
        <v>140</v>
      </c>
      <c r="AV96" t="s">
        <v>140</v>
      </c>
      <c r="AW96" t="s">
        <v>140</v>
      </c>
      <c r="AX96" t="s">
        <v>140</v>
      </c>
      <c r="AY96" t="s">
        <v>140</v>
      </c>
      <c r="AZ96" t="s">
        <v>140</v>
      </c>
      <c r="BA96" t="s">
        <v>140</v>
      </c>
      <c r="BB96" t="s">
        <v>140</v>
      </c>
      <c r="BC96" t="s">
        <v>140</v>
      </c>
      <c r="BD96" t="s">
        <v>140</v>
      </c>
      <c r="BE96" t="s">
        <v>140</v>
      </c>
      <c r="BF96" t="s">
        <v>140</v>
      </c>
      <c r="BG96" t="s">
        <v>140</v>
      </c>
      <c r="BH96" t="s">
        <v>140</v>
      </c>
      <c r="BI96" t="s">
        <v>140</v>
      </c>
      <c r="BJ96" t="s">
        <v>140</v>
      </c>
      <c r="BK96" t="s">
        <v>140</v>
      </c>
      <c r="BL96" t="s">
        <v>140</v>
      </c>
      <c r="BM96" t="s">
        <v>140</v>
      </c>
      <c r="BN96" t="s">
        <v>140</v>
      </c>
      <c r="BO96" t="s">
        <v>140</v>
      </c>
      <c r="BP96" t="s">
        <v>140</v>
      </c>
      <c r="BQ96" t="s">
        <v>140</v>
      </c>
      <c r="BR96" t="s">
        <v>140</v>
      </c>
      <c r="BS96" t="s">
        <v>140</v>
      </c>
      <c r="BT96" t="s">
        <v>140</v>
      </c>
      <c r="BU96" t="s">
        <v>140</v>
      </c>
      <c r="BV96" t="s">
        <v>140</v>
      </c>
      <c r="BW96" t="s">
        <v>140</v>
      </c>
      <c r="BX96" t="s">
        <v>140</v>
      </c>
      <c r="BY96" t="s">
        <v>140</v>
      </c>
      <c r="BZ96" t="s">
        <v>140</v>
      </c>
      <c r="CA96" t="s">
        <v>140</v>
      </c>
      <c r="CB96" t="s">
        <v>140</v>
      </c>
      <c r="CC96" t="s">
        <v>140</v>
      </c>
      <c r="CD96" t="s">
        <v>140</v>
      </c>
      <c r="CE96" t="s">
        <v>140</v>
      </c>
      <c r="CF96" t="s">
        <v>140</v>
      </c>
      <c r="CG96" t="s">
        <v>140</v>
      </c>
      <c r="CH96" t="s">
        <v>140</v>
      </c>
      <c r="CI96" t="s">
        <v>140</v>
      </c>
      <c r="CJ96" t="s">
        <v>140</v>
      </c>
      <c r="CK96" t="s">
        <v>140</v>
      </c>
      <c r="CL96" t="s">
        <v>140</v>
      </c>
      <c r="CM96" t="s">
        <v>140</v>
      </c>
      <c r="CN96" t="s">
        <v>140</v>
      </c>
      <c r="CO96" t="s">
        <v>140</v>
      </c>
      <c r="CP96" t="s">
        <v>140</v>
      </c>
      <c r="CQ96" t="s">
        <v>140</v>
      </c>
      <c r="CR96" t="s">
        <v>140</v>
      </c>
      <c r="CS96" t="s">
        <v>140</v>
      </c>
      <c r="CT96" t="s">
        <v>140</v>
      </c>
      <c r="CU96" t="s">
        <v>140</v>
      </c>
      <c r="CV96" t="s">
        <v>140</v>
      </c>
      <c r="CW96" t="s">
        <v>140</v>
      </c>
      <c r="CX96" t="s">
        <v>140</v>
      </c>
      <c r="CY96" t="s">
        <v>140</v>
      </c>
      <c r="CZ96" t="s">
        <v>140</v>
      </c>
      <c r="DA96" t="s">
        <v>140</v>
      </c>
      <c r="DB96" t="s">
        <v>140</v>
      </c>
      <c r="DC96" s="1">
        <v>767</v>
      </c>
      <c r="DD96" s="1">
        <v>1528</v>
      </c>
      <c r="DE96" s="1">
        <v>1870</v>
      </c>
      <c r="DF96" s="1">
        <v>1230</v>
      </c>
      <c r="DG96" s="1">
        <v>0</v>
      </c>
      <c r="DH96" s="1">
        <v>876</v>
      </c>
      <c r="DI96" s="1">
        <v>907</v>
      </c>
      <c r="DJ96" s="1">
        <v>854</v>
      </c>
      <c r="DK96" s="1">
        <v>2136</v>
      </c>
      <c r="DL96" s="1">
        <v>1712</v>
      </c>
      <c r="DM96" s="1">
        <v>2718</v>
      </c>
      <c r="DN96" s="1">
        <v>3152</v>
      </c>
      <c r="DO96" s="1">
        <v>2553</v>
      </c>
      <c r="DP96" s="1">
        <v>2794</v>
      </c>
      <c r="DQ96" s="1">
        <v>3581</v>
      </c>
      <c r="DR96" s="1">
        <v>3448</v>
      </c>
      <c r="DS96" s="1">
        <v>519</v>
      </c>
      <c r="DT96" s="1">
        <v>454</v>
      </c>
      <c r="DU96" s="1">
        <v>504</v>
      </c>
      <c r="DV96" s="1">
        <v>685</v>
      </c>
      <c r="DW96" s="1">
        <v>615</v>
      </c>
      <c r="DX96" s="1">
        <v>11689</v>
      </c>
      <c r="DY96" s="1">
        <v>3850</v>
      </c>
      <c r="DZ96" s="1">
        <v>6789</v>
      </c>
      <c r="EA96" s="1">
        <v>6253</v>
      </c>
      <c r="EB96" s="1">
        <v>7877</v>
      </c>
      <c r="EC96" s="1">
        <v>1814</v>
      </c>
      <c r="ED96" s="1">
        <v>2530</v>
      </c>
    </row>
    <row r="97" spans="1:134" x14ac:dyDescent="0.25">
      <c r="A97" t="s">
        <v>215</v>
      </c>
      <c r="B97" s="1">
        <v>0</v>
      </c>
      <c r="C97" s="1">
        <v>53</v>
      </c>
      <c r="D97" s="1">
        <v>71</v>
      </c>
      <c r="E97" s="1">
        <v>65</v>
      </c>
      <c r="F97" s="1">
        <v>95</v>
      </c>
      <c r="G97" s="1">
        <v>92</v>
      </c>
      <c r="H97" s="1">
        <v>78</v>
      </c>
      <c r="I97" s="1">
        <v>106</v>
      </c>
      <c r="J97" s="1">
        <v>111</v>
      </c>
      <c r="K97" s="1">
        <v>210</v>
      </c>
      <c r="L97" s="1">
        <v>253</v>
      </c>
      <c r="M97" s="1">
        <v>253</v>
      </c>
      <c r="N97" t="s">
        <v>141</v>
      </c>
      <c r="O97" t="s">
        <v>140</v>
      </c>
      <c r="P97" t="s">
        <v>140</v>
      </c>
      <c r="Q97" t="s">
        <v>140</v>
      </c>
      <c r="R97" t="s">
        <v>140</v>
      </c>
      <c r="S97" t="s">
        <v>140</v>
      </c>
      <c r="T97" t="s">
        <v>140</v>
      </c>
      <c r="U97" t="s">
        <v>140</v>
      </c>
      <c r="V97" t="s">
        <v>140</v>
      </c>
      <c r="W97" t="s">
        <v>140</v>
      </c>
      <c r="X97" t="s">
        <v>140</v>
      </c>
      <c r="Y97" t="s">
        <v>140</v>
      </c>
      <c r="Z97" t="s">
        <v>140</v>
      </c>
      <c r="AA97" t="s">
        <v>140</v>
      </c>
      <c r="AB97" t="s">
        <v>140</v>
      </c>
      <c r="AC97" t="s">
        <v>140</v>
      </c>
      <c r="AD97" t="s">
        <v>140</v>
      </c>
      <c r="AE97" t="s">
        <v>140</v>
      </c>
      <c r="AF97" t="s">
        <v>140</v>
      </c>
      <c r="AG97" t="s">
        <v>140</v>
      </c>
      <c r="AH97" t="s">
        <v>140</v>
      </c>
      <c r="AI97" t="s">
        <v>140</v>
      </c>
      <c r="AJ97" t="s">
        <v>140</v>
      </c>
      <c r="AK97" t="s">
        <v>140</v>
      </c>
      <c r="AL97" t="s">
        <v>140</v>
      </c>
      <c r="AM97" t="s">
        <v>140</v>
      </c>
      <c r="AN97" t="s">
        <v>140</v>
      </c>
      <c r="AO97" t="s">
        <v>140</v>
      </c>
      <c r="AP97" t="s">
        <v>140</v>
      </c>
      <c r="AQ97" t="s">
        <v>140</v>
      </c>
      <c r="AR97" t="s">
        <v>140</v>
      </c>
      <c r="AS97" t="s">
        <v>140</v>
      </c>
      <c r="AT97" t="s">
        <v>140</v>
      </c>
      <c r="AU97" t="s">
        <v>140</v>
      </c>
      <c r="AV97" t="s">
        <v>140</v>
      </c>
      <c r="AW97" t="s">
        <v>140</v>
      </c>
      <c r="AX97" t="s">
        <v>140</v>
      </c>
      <c r="AY97" t="s">
        <v>140</v>
      </c>
      <c r="AZ97" t="s">
        <v>140</v>
      </c>
      <c r="BA97" t="s">
        <v>140</v>
      </c>
      <c r="BB97" t="s">
        <v>140</v>
      </c>
      <c r="BC97" t="s">
        <v>140</v>
      </c>
      <c r="BD97" t="s">
        <v>140</v>
      </c>
      <c r="BE97" t="s">
        <v>140</v>
      </c>
      <c r="BF97" t="s">
        <v>140</v>
      </c>
      <c r="BG97" t="s">
        <v>140</v>
      </c>
      <c r="BH97" t="s">
        <v>140</v>
      </c>
      <c r="BI97" t="s">
        <v>140</v>
      </c>
      <c r="BJ97" t="s">
        <v>140</v>
      </c>
      <c r="BK97" t="s">
        <v>140</v>
      </c>
      <c r="BL97" t="s">
        <v>140</v>
      </c>
      <c r="BM97" t="s">
        <v>140</v>
      </c>
      <c r="BN97" t="s">
        <v>140</v>
      </c>
      <c r="BO97" t="s">
        <v>140</v>
      </c>
      <c r="BP97" t="s">
        <v>140</v>
      </c>
      <c r="BQ97" t="s">
        <v>140</v>
      </c>
      <c r="BR97" t="s">
        <v>140</v>
      </c>
      <c r="BS97" t="s">
        <v>140</v>
      </c>
      <c r="BT97" t="s">
        <v>140</v>
      </c>
      <c r="BU97" t="s">
        <v>140</v>
      </c>
      <c r="BV97" t="s">
        <v>140</v>
      </c>
      <c r="BW97" t="s">
        <v>140</v>
      </c>
      <c r="BX97" t="s">
        <v>140</v>
      </c>
      <c r="BY97" t="s">
        <v>140</v>
      </c>
      <c r="BZ97" t="s">
        <v>140</v>
      </c>
      <c r="CA97" t="s">
        <v>140</v>
      </c>
      <c r="CB97" t="s">
        <v>140</v>
      </c>
      <c r="CC97" t="s">
        <v>140</v>
      </c>
      <c r="CD97" t="s">
        <v>140</v>
      </c>
      <c r="CE97" t="s">
        <v>140</v>
      </c>
      <c r="CF97" t="s">
        <v>140</v>
      </c>
      <c r="CG97" t="s">
        <v>140</v>
      </c>
      <c r="CH97" t="s">
        <v>140</v>
      </c>
      <c r="CI97" t="s">
        <v>140</v>
      </c>
      <c r="CJ97" t="s">
        <v>140</v>
      </c>
      <c r="CK97" t="s">
        <v>140</v>
      </c>
      <c r="CL97" t="s">
        <v>140</v>
      </c>
      <c r="CM97" t="s">
        <v>140</v>
      </c>
      <c r="CN97" t="s">
        <v>140</v>
      </c>
      <c r="CO97" t="s">
        <v>140</v>
      </c>
      <c r="CP97" t="s">
        <v>140</v>
      </c>
      <c r="CQ97" t="s">
        <v>140</v>
      </c>
      <c r="CR97" t="s">
        <v>140</v>
      </c>
      <c r="CS97" t="s">
        <v>140</v>
      </c>
      <c r="CT97" t="s">
        <v>140</v>
      </c>
      <c r="CU97" t="s">
        <v>140</v>
      </c>
      <c r="CV97" t="s">
        <v>140</v>
      </c>
      <c r="CW97" t="s">
        <v>140</v>
      </c>
      <c r="CX97" t="s">
        <v>140</v>
      </c>
      <c r="CY97" t="s">
        <v>140</v>
      </c>
      <c r="CZ97" t="s">
        <v>140</v>
      </c>
      <c r="DA97" t="s">
        <v>140</v>
      </c>
      <c r="DB97" t="s">
        <v>140</v>
      </c>
      <c r="DC97" s="1">
        <v>122</v>
      </c>
      <c r="DD97" s="1">
        <v>92</v>
      </c>
      <c r="DE97" s="1">
        <v>112</v>
      </c>
      <c r="DF97" s="1">
        <v>121</v>
      </c>
      <c r="DG97" s="1">
        <v>0</v>
      </c>
      <c r="DH97" s="1">
        <v>0</v>
      </c>
      <c r="DI97" s="1">
        <v>0</v>
      </c>
      <c r="DJ97" s="1">
        <v>0</v>
      </c>
      <c r="DK97" s="1">
        <v>0</v>
      </c>
      <c r="DL97" s="1">
        <v>53</v>
      </c>
      <c r="DM97" s="1">
        <v>192</v>
      </c>
      <c r="DN97" s="1">
        <v>71</v>
      </c>
      <c r="DO97" s="1">
        <v>61</v>
      </c>
      <c r="DP97" s="1">
        <v>65</v>
      </c>
      <c r="DQ97" s="1">
        <v>81</v>
      </c>
      <c r="DR97" s="1">
        <v>95</v>
      </c>
      <c r="DS97" s="1">
        <v>103</v>
      </c>
      <c r="DT97" s="1">
        <v>92</v>
      </c>
      <c r="DU97" s="1">
        <v>84</v>
      </c>
      <c r="DV97" s="1">
        <v>78</v>
      </c>
      <c r="DW97" s="1">
        <v>99</v>
      </c>
      <c r="DX97" s="1">
        <v>106</v>
      </c>
      <c r="DY97" s="1">
        <v>104</v>
      </c>
      <c r="DZ97" s="1">
        <v>111</v>
      </c>
      <c r="EA97" s="1">
        <v>112</v>
      </c>
      <c r="EB97" s="1">
        <v>210</v>
      </c>
      <c r="EC97" s="1">
        <v>193</v>
      </c>
      <c r="ED97" s="1">
        <v>253</v>
      </c>
    </row>
    <row r="98" spans="1:134" x14ac:dyDescent="0.25">
      <c r="A98" t="s">
        <v>216</v>
      </c>
      <c r="B98" s="1">
        <v>0</v>
      </c>
      <c r="C98" s="1">
        <v>0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  <c r="M98" s="1">
        <v>0</v>
      </c>
      <c r="N98" t="s">
        <v>141</v>
      </c>
      <c r="O98" t="s">
        <v>140</v>
      </c>
      <c r="P98" t="s">
        <v>140</v>
      </c>
      <c r="Q98" t="s">
        <v>140</v>
      </c>
      <c r="R98" t="s">
        <v>140</v>
      </c>
      <c r="S98" t="s">
        <v>140</v>
      </c>
      <c r="T98" t="s">
        <v>140</v>
      </c>
      <c r="U98" t="s">
        <v>140</v>
      </c>
      <c r="V98" t="s">
        <v>140</v>
      </c>
      <c r="W98" t="s">
        <v>140</v>
      </c>
      <c r="X98" t="s">
        <v>140</v>
      </c>
      <c r="Y98" t="s">
        <v>140</v>
      </c>
      <c r="Z98" t="s">
        <v>140</v>
      </c>
      <c r="AA98" t="s">
        <v>140</v>
      </c>
      <c r="AB98" t="s">
        <v>140</v>
      </c>
      <c r="AC98" t="s">
        <v>140</v>
      </c>
      <c r="AD98" t="s">
        <v>140</v>
      </c>
      <c r="AE98" t="s">
        <v>140</v>
      </c>
      <c r="AF98" t="s">
        <v>140</v>
      </c>
      <c r="AG98" t="s">
        <v>140</v>
      </c>
      <c r="AH98" t="s">
        <v>140</v>
      </c>
      <c r="AI98" t="s">
        <v>140</v>
      </c>
      <c r="AJ98" t="s">
        <v>140</v>
      </c>
      <c r="AK98" t="s">
        <v>140</v>
      </c>
      <c r="AL98" t="s">
        <v>140</v>
      </c>
      <c r="AM98" t="s">
        <v>140</v>
      </c>
      <c r="AN98" t="s">
        <v>140</v>
      </c>
      <c r="AO98" t="s">
        <v>140</v>
      </c>
      <c r="AP98" t="s">
        <v>140</v>
      </c>
      <c r="AQ98" t="s">
        <v>140</v>
      </c>
      <c r="AR98" t="s">
        <v>140</v>
      </c>
      <c r="AS98" t="s">
        <v>140</v>
      </c>
      <c r="AT98" t="s">
        <v>140</v>
      </c>
      <c r="AU98" t="s">
        <v>140</v>
      </c>
      <c r="AV98" t="s">
        <v>140</v>
      </c>
      <c r="AW98" t="s">
        <v>140</v>
      </c>
      <c r="AX98" t="s">
        <v>140</v>
      </c>
      <c r="AY98" t="s">
        <v>140</v>
      </c>
      <c r="AZ98" t="s">
        <v>140</v>
      </c>
      <c r="BA98" t="s">
        <v>140</v>
      </c>
      <c r="BB98" t="s">
        <v>140</v>
      </c>
      <c r="BC98" t="s">
        <v>140</v>
      </c>
      <c r="BD98" t="s">
        <v>140</v>
      </c>
      <c r="BE98" t="s">
        <v>140</v>
      </c>
      <c r="BF98" t="s">
        <v>140</v>
      </c>
      <c r="BG98" t="s">
        <v>140</v>
      </c>
      <c r="BH98" t="s">
        <v>140</v>
      </c>
      <c r="BI98" t="s">
        <v>140</v>
      </c>
      <c r="BJ98" t="s">
        <v>140</v>
      </c>
      <c r="BK98" t="s">
        <v>140</v>
      </c>
      <c r="BL98" t="s">
        <v>140</v>
      </c>
      <c r="BM98" t="s">
        <v>140</v>
      </c>
      <c r="BN98" t="s">
        <v>140</v>
      </c>
      <c r="BO98" t="s">
        <v>140</v>
      </c>
      <c r="BP98" t="s">
        <v>140</v>
      </c>
      <c r="BQ98" t="s">
        <v>140</v>
      </c>
      <c r="BR98" t="s">
        <v>140</v>
      </c>
      <c r="BS98" t="s">
        <v>140</v>
      </c>
      <c r="BT98" t="s">
        <v>140</v>
      </c>
      <c r="BU98" t="s">
        <v>140</v>
      </c>
      <c r="BV98" t="s">
        <v>140</v>
      </c>
      <c r="BW98" t="s">
        <v>140</v>
      </c>
      <c r="BX98" t="s">
        <v>140</v>
      </c>
      <c r="BY98" t="s">
        <v>140</v>
      </c>
      <c r="BZ98" t="s">
        <v>140</v>
      </c>
      <c r="CA98" t="s">
        <v>140</v>
      </c>
      <c r="CB98" t="s">
        <v>140</v>
      </c>
      <c r="CC98" t="s">
        <v>140</v>
      </c>
      <c r="CD98" t="s">
        <v>140</v>
      </c>
      <c r="CE98" t="s">
        <v>140</v>
      </c>
      <c r="CF98" t="s">
        <v>140</v>
      </c>
      <c r="CG98" t="s">
        <v>140</v>
      </c>
      <c r="CH98" t="s">
        <v>140</v>
      </c>
      <c r="CI98" t="s">
        <v>140</v>
      </c>
      <c r="CJ98" t="s">
        <v>140</v>
      </c>
      <c r="CK98" t="s">
        <v>140</v>
      </c>
      <c r="CL98" t="s">
        <v>140</v>
      </c>
      <c r="CM98" t="s">
        <v>140</v>
      </c>
      <c r="CN98" t="s">
        <v>140</v>
      </c>
      <c r="CO98" t="s">
        <v>140</v>
      </c>
      <c r="CP98" t="s">
        <v>140</v>
      </c>
      <c r="CQ98" t="s">
        <v>140</v>
      </c>
      <c r="CR98" t="s">
        <v>140</v>
      </c>
      <c r="CS98" t="s">
        <v>140</v>
      </c>
      <c r="CT98" t="s">
        <v>140</v>
      </c>
      <c r="CU98" t="s">
        <v>140</v>
      </c>
      <c r="CV98" t="s">
        <v>140</v>
      </c>
      <c r="CW98" t="s">
        <v>140</v>
      </c>
      <c r="CX98" t="s">
        <v>140</v>
      </c>
      <c r="CY98" t="s">
        <v>140</v>
      </c>
      <c r="CZ98" t="s">
        <v>140</v>
      </c>
      <c r="DA98" t="s">
        <v>140</v>
      </c>
      <c r="DB98" t="s">
        <v>140</v>
      </c>
      <c r="DC98" s="1">
        <v>0</v>
      </c>
      <c r="DD98" s="1">
        <v>0</v>
      </c>
      <c r="DE98" s="1">
        <v>0</v>
      </c>
      <c r="DF98" s="1">
        <v>0</v>
      </c>
      <c r="DG98" s="1">
        <v>0</v>
      </c>
      <c r="DH98" s="1">
        <v>0</v>
      </c>
      <c r="DI98" s="1">
        <v>0</v>
      </c>
      <c r="DJ98" s="1">
        <v>0</v>
      </c>
      <c r="DK98" s="1">
        <v>0</v>
      </c>
      <c r="DL98" s="1">
        <v>0</v>
      </c>
      <c r="DM98" s="1">
        <v>0</v>
      </c>
      <c r="DN98" s="1">
        <v>0</v>
      </c>
      <c r="DO98" s="1">
        <v>0</v>
      </c>
      <c r="DP98" s="1">
        <v>0</v>
      </c>
      <c r="DQ98" s="1">
        <v>0</v>
      </c>
      <c r="DR98" s="1">
        <v>0</v>
      </c>
      <c r="DS98" s="1">
        <v>0</v>
      </c>
      <c r="DT98" s="1">
        <v>0</v>
      </c>
      <c r="DU98" s="1">
        <v>0</v>
      </c>
      <c r="DV98" s="1">
        <v>0</v>
      </c>
      <c r="DW98" s="1">
        <v>0</v>
      </c>
      <c r="DX98" s="1">
        <v>0</v>
      </c>
      <c r="DY98" s="1">
        <v>0</v>
      </c>
      <c r="DZ98" s="1">
        <v>0</v>
      </c>
      <c r="EA98" s="1">
        <v>0</v>
      </c>
      <c r="EB98" s="1">
        <v>0</v>
      </c>
      <c r="EC98" s="1">
        <v>0</v>
      </c>
      <c r="ED98" s="1">
        <v>0</v>
      </c>
    </row>
    <row r="99" spans="1:134" x14ac:dyDescent="0.25">
      <c r="A99" t="s">
        <v>217</v>
      </c>
      <c r="B99" s="1">
        <v>0</v>
      </c>
      <c r="C99" s="1">
        <v>0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  <c r="M99" s="1">
        <v>0</v>
      </c>
      <c r="N99" t="s">
        <v>141</v>
      </c>
      <c r="O99" t="s">
        <v>140</v>
      </c>
      <c r="P99" t="s">
        <v>140</v>
      </c>
      <c r="Q99" t="s">
        <v>140</v>
      </c>
      <c r="R99" t="s">
        <v>140</v>
      </c>
      <c r="S99" t="s">
        <v>140</v>
      </c>
      <c r="T99" t="s">
        <v>140</v>
      </c>
      <c r="U99" t="s">
        <v>140</v>
      </c>
      <c r="V99" t="s">
        <v>140</v>
      </c>
      <c r="W99" t="s">
        <v>140</v>
      </c>
      <c r="X99" t="s">
        <v>140</v>
      </c>
      <c r="Y99" t="s">
        <v>140</v>
      </c>
      <c r="Z99" t="s">
        <v>140</v>
      </c>
      <c r="AA99" t="s">
        <v>140</v>
      </c>
      <c r="AB99" t="s">
        <v>140</v>
      </c>
      <c r="AC99" t="s">
        <v>140</v>
      </c>
      <c r="AD99" t="s">
        <v>140</v>
      </c>
      <c r="AE99" t="s">
        <v>140</v>
      </c>
      <c r="AF99" t="s">
        <v>140</v>
      </c>
      <c r="AG99" t="s">
        <v>140</v>
      </c>
      <c r="AH99" t="s">
        <v>140</v>
      </c>
      <c r="AI99" t="s">
        <v>140</v>
      </c>
      <c r="AJ99" t="s">
        <v>140</v>
      </c>
      <c r="AK99" t="s">
        <v>140</v>
      </c>
      <c r="AL99" t="s">
        <v>140</v>
      </c>
      <c r="AM99" t="s">
        <v>140</v>
      </c>
      <c r="AN99" t="s">
        <v>140</v>
      </c>
      <c r="AO99" t="s">
        <v>140</v>
      </c>
      <c r="AP99" t="s">
        <v>140</v>
      </c>
      <c r="AQ99" t="s">
        <v>140</v>
      </c>
      <c r="AR99" t="s">
        <v>140</v>
      </c>
      <c r="AS99" t="s">
        <v>140</v>
      </c>
      <c r="AT99" t="s">
        <v>140</v>
      </c>
      <c r="AU99" t="s">
        <v>140</v>
      </c>
      <c r="AV99" t="s">
        <v>140</v>
      </c>
      <c r="AW99" t="s">
        <v>140</v>
      </c>
      <c r="AX99" t="s">
        <v>140</v>
      </c>
      <c r="AY99" t="s">
        <v>140</v>
      </c>
      <c r="AZ99" t="s">
        <v>140</v>
      </c>
      <c r="BA99" t="s">
        <v>140</v>
      </c>
      <c r="BB99" t="s">
        <v>140</v>
      </c>
      <c r="BC99" t="s">
        <v>140</v>
      </c>
      <c r="BD99" t="s">
        <v>140</v>
      </c>
      <c r="BE99" t="s">
        <v>140</v>
      </c>
      <c r="BF99" t="s">
        <v>140</v>
      </c>
      <c r="BG99" t="s">
        <v>140</v>
      </c>
      <c r="BH99" t="s">
        <v>140</v>
      </c>
      <c r="BI99" t="s">
        <v>140</v>
      </c>
      <c r="BJ99" t="s">
        <v>140</v>
      </c>
      <c r="BK99" t="s">
        <v>140</v>
      </c>
      <c r="BL99" t="s">
        <v>140</v>
      </c>
      <c r="BM99" t="s">
        <v>140</v>
      </c>
      <c r="BN99" t="s">
        <v>140</v>
      </c>
      <c r="BO99" t="s">
        <v>140</v>
      </c>
      <c r="BP99" t="s">
        <v>140</v>
      </c>
      <c r="BQ99" t="s">
        <v>140</v>
      </c>
      <c r="BR99" t="s">
        <v>140</v>
      </c>
      <c r="BS99" t="s">
        <v>140</v>
      </c>
      <c r="BT99" t="s">
        <v>140</v>
      </c>
      <c r="BU99" t="s">
        <v>140</v>
      </c>
      <c r="BV99" t="s">
        <v>140</v>
      </c>
      <c r="BW99" t="s">
        <v>140</v>
      </c>
      <c r="BX99" t="s">
        <v>140</v>
      </c>
      <c r="BY99" t="s">
        <v>140</v>
      </c>
      <c r="BZ99" t="s">
        <v>140</v>
      </c>
      <c r="CA99" t="s">
        <v>140</v>
      </c>
      <c r="CB99" t="s">
        <v>140</v>
      </c>
      <c r="CC99" t="s">
        <v>140</v>
      </c>
      <c r="CD99" t="s">
        <v>140</v>
      </c>
      <c r="CE99" t="s">
        <v>140</v>
      </c>
      <c r="CF99" t="s">
        <v>140</v>
      </c>
      <c r="CG99" t="s">
        <v>140</v>
      </c>
      <c r="CH99" t="s">
        <v>140</v>
      </c>
      <c r="CI99" t="s">
        <v>140</v>
      </c>
      <c r="CJ99" t="s">
        <v>140</v>
      </c>
      <c r="CK99" t="s">
        <v>140</v>
      </c>
      <c r="CL99" t="s">
        <v>140</v>
      </c>
      <c r="CM99" t="s">
        <v>140</v>
      </c>
      <c r="CN99" t="s">
        <v>140</v>
      </c>
      <c r="CO99" t="s">
        <v>140</v>
      </c>
      <c r="CP99" t="s">
        <v>140</v>
      </c>
      <c r="CQ99" t="s">
        <v>140</v>
      </c>
      <c r="CR99" t="s">
        <v>140</v>
      </c>
      <c r="CS99" t="s">
        <v>140</v>
      </c>
      <c r="CT99" t="s">
        <v>140</v>
      </c>
      <c r="CU99" t="s">
        <v>140</v>
      </c>
      <c r="CV99" t="s">
        <v>140</v>
      </c>
      <c r="CW99" t="s">
        <v>140</v>
      </c>
      <c r="CX99" t="s">
        <v>140</v>
      </c>
      <c r="CY99" t="s">
        <v>140</v>
      </c>
      <c r="CZ99" t="s">
        <v>140</v>
      </c>
      <c r="DA99" t="s">
        <v>140</v>
      </c>
      <c r="DB99" t="s">
        <v>140</v>
      </c>
      <c r="DC99" s="1">
        <v>0</v>
      </c>
      <c r="DD99" s="1">
        <v>0</v>
      </c>
      <c r="DE99" s="1">
        <v>0</v>
      </c>
      <c r="DF99" s="1">
        <v>0</v>
      </c>
      <c r="DG99" s="1">
        <v>0</v>
      </c>
      <c r="DH99" s="1">
        <v>0</v>
      </c>
      <c r="DI99" s="1">
        <v>0</v>
      </c>
      <c r="DJ99" s="1">
        <v>0</v>
      </c>
      <c r="DK99" s="1">
        <v>0</v>
      </c>
      <c r="DL99" s="1">
        <v>0</v>
      </c>
      <c r="DM99" s="1">
        <v>0</v>
      </c>
      <c r="DN99" s="1">
        <v>0</v>
      </c>
      <c r="DO99" s="1">
        <v>0</v>
      </c>
      <c r="DP99" s="1">
        <v>0</v>
      </c>
      <c r="DQ99" s="1">
        <v>0</v>
      </c>
      <c r="DR99" s="1">
        <v>0</v>
      </c>
      <c r="DS99" s="1">
        <v>0</v>
      </c>
      <c r="DT99" s="1">
        <v>0</v>
      </c>
      <c r="DU99" s="1">
        <v>0</v>
      </c>
      <c r="DV99" s="1">
        <v>0</v>
      </c>
      <c r="DW99" s="1">
        <v>0</v>
      </c>
      <c r="DX99" s="1">
        <v>0</v>
      </c>
      <c r="DY99" s="1">
        <v>0</v>
      </c>
      <c r="DZ99" s="1">
        <v>0</v>
      </c>
      <c r="EA99" s="1">
        <v>0</v>
      </c>
      <c r="EB99" s="1">
        <v>0</v>
      </c>
      <c r="EC99" s="1">
        <v>0</v>
      </c>
      <c r="ED99" s="1">
        <v>0</v>
      </c>
    </row>
    <row r="100" spans="1:134" x14ac:dyDescent="0.25">
      <c r="A100" t="s">
        <v>218</v>
      </c>
      <c r="B100" s="1">
        <v>0</v>
      </c>
      <c r="C100" s="1">
        <v>0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  <c r="M100" s="1">
        <v>0</v>
      </c>
      <c r="N100" t="s">
        <v>141</v>
      </c>
      <c r="O100" t="s">
        <v>140</v>
      </c>
      <c r="P100" t="s">
        <v>140</v>
      </c>
      <c r="Q100" t="s">
        <v>140</v>
      </c>
      <c r="R100" t="s">
        <v>140</v>
      </c>
      <c r="S100" t="s">
        <v>140</v>
      </c>
      <c r="T100" t="s">
        <v>140</v>
      </c>
      <c r="U100" t="s">
        <v>140</v>
      </c>
      <c r="V100" t="s">
        <v>140</v>
      </c>
      <c r="W100" t="s">
        <v>140</v>
      </c>
      <c r="X100" t="s">
        <v>140</v>
      </c>
      <c r="Y100" t="s">
        <v>140</v>
      </c>
      <c r="Z100" t="s">
        <v>140</v>
      </c>
      <c r="AA100" t="s">
        <v>140</v>
      </c>
      <c r="AB100" t="s">
        <v>140</v>
      </c>
      <c r="AC100" t="s">
        <v>140</v>
      </c>
      <c r="AD100" t="s">
        <v>140</v>
      </c>
      <c r="AE100" t="s">
        <v>140</v>
      </c>
      <c r="AF100" t="s">
        <v>140</v>
      </c>
      <c r="AG100" t="s">
        <v>140</v>
      </c>
      <c r="AH100" t="s">
        <v>140</v>
      </c>
      <c r="AI100" t="s">
        <v>140</v>
      </c>
      <c r="AJ100" t="s">
        <v>140</v>
      </c>
      <c r="AK100" t="s">
        <v>140</v>
      </c>
      <c r="AL100" t="s">
        <v>140</v>
      </c>
      <c r="AM100" t="s">
        <v>140</v>
      </c>
      <c r="AN100" t="s">
        <v>140</v>
      </c>
      <c r="AO100" t="s">
        <v>140</v>
      </c>
      <c r="AP100" t="s">
        <v>140</v>
      </c>
      <c r="AQ100" t="s">
        <v>140</v>
      </c>
      <c r="AR100" t="s">
        <v>140</v>
      </c>
      <c r="AS100" t="s">
        <v>140</v>
      </c>
      <c r="AT100" t="s">
        <v>140</v>
      </c>
      <c r="AU100" t="s">
        <v>140</v>
      </c>
      <c r="AV100" t="s">
        <v>140</v>
      </c>
      <c r="AW100" t="s">
        <v>140</v>
      </c>
      <c r="AX100" t="s">
        <v>140</v>
      </c>
      <c r="AY100" t="s">
        <v>140</v>
      </c>
      <c r="AZ100" t="s">
        <v>140</v>
      </c>
      <c r="BA100" t="s">
        <v>140</v>
      </c>
      <c r="BB100" t="s">
        <v>140</v>
      </c>
      <c r="BC100" t="s">
        <v>140</v>
      </c>
      <c r="BD100" t="s">
        <v>140</v>
      </c>
      <c r="BE100" t="s">
        <v>140</v>
      </c>
      <c r="BF100" t="s">
        <v>140</v>
      </c>
      <c r="BG100" t="s">
        <v>140</v>
      </c>
      <c r="BH100" t="s">
        <v>140</v>
      </c>
      <c r="BI100" t="s">
        <v>140</v>
      </c>
      <c r="BJ100" t="s">
        <v>140</v>
      </c>
      <c r="BK100" t="s">
        <v>140</v>
      </c>
      <c r="BL100" t="s">
        <v>140</v>
      </c>
      <c r="BM100" t="s">
        <v>140</v>
      </c>
      <c r="BN100" t="s">
        <v>140</v>
      </c>
      <c r="BO100" t="s">
        <v>140</v>
      </c>
      <c r="BP100" t="s">
        <v>140</v>
      </c>
      <c r="BQ100" t="s">
        <v>140</v>
      </c>
      <c r="BR100" t="s">
        <v>140</v>
      </c>
      <c r="BS100" t="s">
        <v>140</v>
      </c>
      <c r="BT100" t="s">
        <v>140</v>
      </c>
      <c r="BU100" t="s">
        <v>140</v>
      </c>
      <c r="BV100" t="s">
        <v>140</v>
      </c>
      <c r="BW100" t="s">
        <v>140</v>
      </c>
      <c r="BX100" t="s">
        <v>140</v>
      </c>
      <c r="BY100" t="s">
        <v>140</v>
      </c>
      <c r="BZ100" t="s">
        <v>140</v>
      </c>
      <c r="CA100" t="s">
        <v>140</v>
      </c>
      <c r="CB100" t="s">
        <v>140</v>
      </c>
      <c r="CC100" t="s">
        <v>140</v>
      </c>
      <c r="CD100" t="s">
        <v>140</v>
      </c>
      <c r="CE100" t="s">
        <v>140</v>
      </c>
      <c r="CF100" t="s">
        <v>140</v>
      </c>
      <c r="CG100" t="s">
        <v>140</v>
      </c>
      <c r="CH100" t="s">
        <v>140</v>
      </c>
      <c r="CI100" t="s">
        <v>140</v>
      </c>
      <c r="CJ100" t="s">
        <v>140</v>
      </c>
      <c r="CK100" t="s">
        <v>140</v>
      </c>
      <c r="CL100" t="s">
        <v>140</v>
      </c>
      <c r="CM100" t="s">
        <v>140</v>
      </c>
      <c r="CN100" t="s">
        <v>140</v>
      </c>
      <c r="CO100" t="s">
        <v>140</v>
      </c>
      <c r="CP100" t="s">
        <v>140</v>
      </c>
      <c r="CQ100" t="s">
        <v>140</v>
      </c>
      <c r="CR100" t="s">
        <v>140</v>
      </c>
      <c r="CS100" t="s">
        <v>140</v>
      </c>
      <c r="CT100" t="s">
        <v>140</v>
      </c>
      <c r="CU100" t="s">
        <v>140</v>
      </c>
      <c r="CV100" t="s">
        <v>140</v>
      </c>
      <c r="CW100" t="s">
        <v>140</v>
      </c>
      <c r="CX100" t="s">
        <v>140</v>
      </c>
      <c r="CY100" t="s">
        <v>140</v>
      </c>
      <c r="CZ100" t="s">
        <v>140</v>
      </c>
      <c r="DA100" t="s">
        <v>140</v>
      </c>
      <c r="DB100" t="s">
        <v>140</v>
      </c>
      <c r="DC100" s="1">
        <v>0</v>
      </c>
      <c r="DD100" s="1">
        <v>0</v>
      </c>
      <c r="DE100" s="1">
        <v>0</v>
      </c>
      <c r="DF100" s="1">
        <v>0</v>
      </c>
      <c r="DG100" s="1">
        <v>0</v>
      </c>
      <c r="DH100" s="1">
        <v>0</v>
      </c>
      <c r="DI100" s="1">
        <v>0</v>
      </c>
      <c r="DJ100" s="1">
        <v>0</v>
      </c>
      <c r="DK100" s="1">
        <v>0</v>
      </c>
      <c r="DL100" s="1">
        <v>0</v>
      </c>
      <c r="DM100" s="1">
        <v>0</v>
      </c>
      <c r="DN100" s="1">
        <v>0</v>
      </c>
      <c r="DO100" s="1">
        <v>0</v>
      </c>
      <c r="DP100" s="1">
        <v>0</v>
      </c>
      <c r="DQ100" s="1">
        <v>0</v>
      </c>
      <c r="DR100" s="1">
        <v>0</v>
      </c>
      <c r="DS100" s="1">
        <v>0</v>
      </c>
      <c r="DT100" s="1">
        <v>0</v>
      </c>
      <c r="DU100" s="1">
        <v>0</v>
      </c>
      <c r="DV100" s="1">
        <v>0</v>
      </c>
      <c r="DW100" s="1">
        <v>0</v>
      </c>
      <c r="DX100" s="1">
        <v>0</v>
      </c>
      <c r="DY100" s="1">
        <v>0</v>
      </c>
      <c r="DZ100" s="1">
        <v>0</v>
      </c>
      <c r="EA100" s="1">
        <v>0</v>
      </c>
      <c r="EB100" s="1">
        <v>0</v>
      </c>
      <c r="EC100" s="1">
        <v>0</v>
      </c>
      <c r="ED100" s="1">
        <v>0</v>
      </c>
    </row>
    <row r="101" spans="1:134" x14ac:dyDescent="0.25">
      <c r="A101" t="s">
        <v>219</v>
      </c>
      <c r="B101" s="1">
        <v>0</v>
      </c>
      <c r="C101" s="1">
        <v>53</v>
      </c>
      <c r="D101" s="1">
        <v>71</v>
      </c>
      <c r="E101" s="1">
        <v>65</v>
      </c>
      <c r="F101" s="1">
        <v>95</v>
      </c>
      <c r="G101" s="1">
        <v>92</v>
      </c>
      <c r="H101" s="1">
        <v>78</v>
      </c>
      <c r="I101" s="1">
        <v>106</v>
      </c>
      <c r="J101" s="1">
        <v>111</v>
      </c>
      <c r="K101" s="1">
        <v>210</v>
      </c>
      <c r="L101" s="1">
        <v>253</v>
      </c>
      <c r="M101" s="1">
        <v>253</v>
      </c>
      <c r="N101" t="s">
        <v>141</v>
      </c>
      <c r="O101" t="s">
        <v>140</v>
      </c>
      <c r="P101" t="s">
        <v>140</v>
      </c>
      <c r="Q101" t="s">
        <v>140</v>
      </c>
      <c r="R101" t="s">
        <v>140</v>
      </c>
      <c r="S101" t="s">
        <v>140</v>
      </c>
      <c r="T101" t="s">
        <v>140</v>
      </c>
      <c r="U101" t="s">
        <v>140</v>
      </c>
      <c r="V101" t="s">
        <v>140</v>
      </c>
      <c r="W101" t="s">
        <v>140</v>
      </c>
      <c r="X101" t="s">
        <v>140</v>
      </c>
      <c r="Y101" t="s">
        <v>140</v>
      </c>
      <c r="Z101" t="s">
        <v>140</v>
      </c>
      <c r="AA101" t="s">
        <v>140</v>
      </c>
      <c r="AB101" t="s">
        <v>140</v>
      </c>
      <c r="AC101" t="s">
        <v>140</v>
      </c>
      <c r="AD101" t="s">
        <v>140</v>
      </c>
      <c r="AE101" t="s">
        <v>140</v>
      </c>
      <c r="AF101" t="s">
        <v>140</v>
      </c>
      <c r="AG101" t="s">
        <v>140</v>
      </c>
      <c r="AH101" t="s">
        <v>140</v>
      </c>
      <c r="AI101" t="s">
        <v>140</v>
      </c>
      <c r="AJ101" t="s">
        <v>140</v>
      </c>
      <c r="AK101" t="s">
        <v>140</v>
      </c>
      <c r="AL101" t="s">
        <v>140</v>
      </c>
      <c r="AM101" t="s">
        <v>140</v>
      </c>
      <c r="AN101" t="s">
        <v>140</v>
      </c>
      <c r="AO101" t="s">
        <v>140</v>
      </c>
      <c r="AP101" t="s">
        <v>140</v>
      </c>
      <c r="AQ101" t="s">
        <v>140</v>
      </c>
      <c r="AR101" t="s">
        <v>140</v>
      </c>
      <c r="AS101" t="s">
        <v>140</v>
      </c>
      <c r="AT101" t="s">
        <v>140</v>
      </c>
      <c r="AU101" t="s">
        <v>140</v>
      </c>
      <c r="AV101" t="s">
        <v>140</v>
      </c>
      <c r="AW101" t="s">
        <v>140</v>
      </c>
      <c r="AX101" t="s">
        <v>140</v>
      </c>
      <c r="AY101" t="s">
        <v>140</v>
      </c>
      <c r="AZ101" t="s">
        <v>140</v>
      </c>
      <c r="BA101" t="s">
        <v>140</v>
      </c>
      <c r="BB101" t="s">
        <v>140</v>
      </c>
      <c r="BC101" t="s">
        <v>140</v>
      </c>
      <c r="BD101" t="s">
        <v>140</v>
      </c>
      <c r="BE101" t="s">
        <v>140</v>
      </c>
      <c r="BF101" t="s">
        <v>140</v>
      </c>
      <c r="BG101" t="s">
        <v>140</v>
      </c>
      <c r="BH101" t="s">
        <v>140</v>
      </c>
      <c r="BI101" t="s">
        <v>140</v>
      </c>
      <c r="BJ101" t="s">
        <v>140</v>
      </c>
      <c r="BK101" t="s">
        <v>140</v>
      </c>
      <c r="BL101" t="s">
        <v>140</v>
      </c>
      <c r="BM101" t="s">
        <v>140</v>
      </c>
      <c r="BN101" t="s">
        <v>140</v>
      </c>
      <c r="BO101" t="s">
        <v>140</v>
      </c>
      <c r="BP101" t="s">
        <v>140</v>
      </c>
      <c r="BQ101" t="s">
        <v>140</v>
      </c>
      <c r="BR101" t="s">
        <v>140</v>
      </c>
      <c r="BS101" t="s">
        <v>140</v>
      </c>
      <c r="BT101" t="s">
        <v>140</v>
      </c>
      <c r="BU101" t="s">
        <v>140</v>
      </c>
      <c r="BV101" t="s">
        <v>140</v>
      </c>
      <c r="BW101" t="s">
        <v>140</v>
      </c>
      <c r="BX101" t="s">
        <v>140</v>
      </c>
      <c r="BY101" t="s">
        <v>140</v>
      </c>
      <c r="BZ101" t="s">
        <v>140</v>
      </c>
      <c r="CA101" t="s">
        <v>140</v>
      </c>
      <c r="CB101" t="s">
        <v>140</v>
      </c>
      <c r="CC101" t="s">
        <v>140</v>
      </c>
      <c r="CD101" t="s">
        <v>140</v>
      </c>
      <c r="CE101" t="s">
        <v>140</v>
      </c>
      <c r="CF101" t="s">
        <v>140</v>
      </c>
      <c r="CG101" t="s">
        <v>140</v>
      </c>
      <c r="CH101" t="s">
        <v>140</v>
      </c>
      <c r="CI101" t="s">
        <v>140</v>
      </c>
      <c r="CJ101" t="s">
        <v>140</v>
      </c>
      <c r="CK101" t="s">
        <v>140</v>
      </c>
      <c r="CL101" t="s">
        <v>140</v>
      </c>
      <c r="CM101" t="s">
        <v>140</v>
      </c>
      <c r="CN101" t="s">
        <v>140</v>
      </c>
      <c r="CO101" t="s">
        <v>140</v>
      </c>
      <c r="CP101" t="s">
        <v>140</v>
      </c>
      <c r="CQ101" t="s">
        <v>140</v>
      </c>
      <c r="CR101" t="s">
        <v>140</v>
      </c>
      <c r="CS101" t="s">
        <v>140</v>
      </c>
      <c r="CT101" t="s">
        <v>140</v>
      </c>
      <c r="CU101" t="s">
        <v>140</v>
      </c>
      <c r="CV101" t="s">
        <v>140</v>
      </c>
      <c r="CW101" t="s">
        <v>140</v>
      </c>
      <c r="CX101" t="s">
        <v>140</v>
      </c>
      <c r="CY101" t="s">
        <v>140</v>
      </c>
      <c r="CZ101" t="s">
        <v>140</v>
      </c>
      <c r="DA101" t="s">
        <v>140</v>
      </c>
      <c r="DB101" t="s">
        <v>140</v>
      </c>
      <c r="DC101" s="1">
        <v>122</v>
      </c>
      <c r="DD101" s="1">
        <v>92</v>
      </c>
      <c r="DE101" s="1">
        <v>112</v>
      </c>
      <c r="DF101" s="1">
        <v>121</v>
      </c>
      <c r="DG101" s="1">
        <v>0</v>
      </c>
      <c r="DH101" s="1">
        <v>0</v>
      </c>
      <c r="DI101" s="1">
        <v>0</v>
      </c>
      <c r="DJ101" s="1">
        <v>0</v>
      </c>
      <c r="DK101" s="1">
        <v>0</v>
      </c>
      <c r="DL101" s="1">
        <v>53</v>
      </c>
      <c r="DM101" s="1">
        <v>192</v>
      </c>
      <c r="DN101" s="1">
        <v>71</v>
      </c>
      <c r="DO101" s="1">
        <v>61</v>
      </c>
      <c r="DP101" s="1">
        <v>65</v>
      </c>
      <c r="DQ101" s="1">
        <v>81</v>
      </c>
      <c r="DR101" s="1">
        <v>95</v>
      </c>
      <c r="DS101" s="1">
        <v>103</v>
      </c>
      <c r="DT101" s="1">
        <v>92</v>
      </c>
      <c r="DU101" s="1">
        <v>84</v>
      </c>
      <c r="DV101" s="1">
        <v>78</v>
      </c>
      <c r="DW101" s="1">
        <v>99</v>
      </c>
      <c r="DX101" s="1">
        <v>106</v>
      </c>
      <c r="DY101" s="1">
        <v>104</v>
      </c>
      <c r="DZ101" s="1">
        <v>111</v>
      </c>
      <c r="EA101" s="1">
        <v>112</v>
      </c>
      <c r="EB101" s="1">
        <v>210</v>
      </c>
      <c r="EC101" s="1">
        <v>193</v>
      </c>
      <c r="ED101" s="1">
        <v>253</v>
      </c>
    </row>
    <row r="102" spans="1:134" x14ac:dyDescent="0.25">
      <c r="A102" t="s">
        <v>220</v>
      </c>
      <c r="B102" s="1">
        <v>0</v>
      </c>
      <c r="C102" s="1">
        <v>0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  <c r="M102" s="1">
        <v>0</v>
      </c>
      <c r="N102" t="s">
        <v>141</v>
      </c>
      <c r="O102" t="s">
        <v>140</v>
      </c>
      <c r="P102" t="s">
        <v>140</v>
      </c>
      <c r="Q102" t="s">
        <v>140</v>
      </c>
      <c r="R102" t="s">
        <v>140</v>
      </c>
      <c r="S102" t="s">
        <v>140</v>
      </c>
      <c r="T102" t="s">
        <v>140</v>
      </c>
      <c r="U102" t="s">
        <v>140</v>
      </c>
      <c r="V102" t="s">
        <v>140</v>
      </c>
      <c r="W102" t="s">
        <v>140</v>
      </c>
      <c r="X102" t="s">
        <v>140</v>
      </c>
      <c r="Y102" t="s">
        <v>140</v>
      </c>
      <c r="Z102" t="s">
        <v>140</v>
      </c>
      <c r="AA102" t="s">
        <v>140</v>
      </c>
      <c r="AB102" t="s">
        <v>140</v>
      </c>
      <c r="AC102" t="s">
        <v>140</v>
      </c>
      <c r="AD102" t="s">
        <v>140</v>
      </c>
      <c r="AE102" t="s">
        <v>140</v>
      </c>
      <c r="AF102" t="s">
        <v>140</v>
      </c>
      <c r="AG102" t="s">
        <v>140</v>
      </c>
      <c r="AH102" t="s">
        <v>140</v>
      </c>
      <c r="AI102" t="s">
        <v>140</v>
      </c>
      <c r="AJ102" t="s">
        <v>140</v>
      </c>
      <c r="AK102" t="s">
        <v>140</v>
      </c>
      <c r="AL102" t="s">
        <v>140</v>
      </c>
      <c r="AM102" t="s">
        <v>140</v>
      </c>
      <c r="AN102" t="s">
        <v>140</v>
      </c>
      <c r="AO102" t="s">
        <v>140</v>
      </c>
      <c r="AP102" t="s">
        <v>140</v>
      </c>
      <c r="AQ102" t="s">
        <v>140</v>
      </c>
      <c r="AR102" t="s">
        <v>140</v>
      </c>
      <c r="AS102" t="s">
        <v>140</v>
      </c>
      <c r="AT102" t="s">
        <v>140</v>
      </c>
      <c r="AU102" t="s">
        <v>140</v>
      </c>
      <c r="AV102" t="s">
        <v>140</v>
      </c>
      <c r="AW102" t="s">
        <v>140</v>
      </c>
      <c r="AX102" t="s">
        <v>140</v>
      </c>
      <c r="AY102" t="s">
        <v>140</v>
      </c>
      <c r="AZ102" t="s">
        <v>140</v>
      </c>
      <c r="BA102" t="s">
        <v>140</v>
      </c>
      <c r="BB102" t="s">
        <v>140</v>
      </c>
      <c r="BC102" t="s">
        <v>140</v>
      </c>
      <c r="BD102" t="s">
        <v>140</v>
      </c>
      <c r="BE102" t="s">
        <v>140</v>
      </c>
      <c r="BF102" t="s">
        <v>140</v>
      </c>
      <c r="BG102" t="s">
        <v>140</v>
      </c>
      <c r="BH102" t="s">
        <v>140</v>
      </c>
      <c r="BI102" t="s">
        <v>140</v>
      </c>
      <c r="BJ102" t="s">
        <v>140</v>
      </c>
      <c r="BK102" t="s">
        <v>140</v>
      </c>
      <c r="BL102" t="s">
        <v>140</v>
      </c>
      <c r="BM102" t="s">
        <v>140</v>
      </c>
      <c r="BN102" t="s">
        <v>140</v>
      </c>
      <c r="BO102" t="s">
        <v>140</v>
      </c>
      <c r="BP102" t="s">
        <v>140</v>
      </c>
      <c r="BQ102" t="s">
        <v>140</v>
      </c>
      <c r="BR102" t="s">
        <v>140</v>
      </c>
      <c r="BS102" t="s">
        <v>140</v>
      </c>
      <c r="BT102" t="s">
        <v>140</v>
      </c>
      <c r="BU102" t="s">
        <v>140</v>
      </c>
      <c r="BV102" t="s">
        <v>140</v>
      </c>
      <c r="BW102" t="s">
        <v>140</v>
      </c>
      <c r="BX102" t="s">
        <v>140</v>
      </c>
      <c r="BY102" t="s">
        <v>140</v>
      </c>
      <c r="BZ102" t="s">
        <v>140</v>
      </c>
      <c r="CA102" t="s">
        <v>140</v>
      </c>
      <c r="CB102" t="s">
        <v>140</v>
      </c>
      <c r="CC102" t="s">
        <v>140</v>
      </c>
      <c r="CD102" t="s">
        <v>140</v>
      </c>
      <c r="CE102" t="s">
        <v>140</v>
      </c>
      <c r="CF102" t="s">
        <v>140</v>
      </c>
      <c r="CG102" t="s">
        <v>140</v>
      </c>
      <c r="CH102" t="s">
        <v>140</v>
      </c>
      <c r="CI102" t="s">
        <v>140</v>
      </c>
      <c r="CJ102" t="s">
        <v>140</v>
      </c>
      <c r="CK102" t="s">
        <v>140</v>
      </c>
      <c r="CL102" t="s">
        <v>140</v>
      </c>
      <c r="CM102" t="s">
        <v>140</v>
      </c>
      <c r="CN102" t="s">
        <v>140</v>
      </c>
      <c r="CO102" t="s">
        <v>140</v>
      </c>
      <c r="CP102" t="s">
        <v>140</v>
      </c>
      <c r="CQ102" t="s">
        <v>140</v>
      </c>
      <c r="CR102" t="s">
        <v>140</v>
      </c>
      <c r="CS102" t="s">
        <v>140</v>
      </c>
      <c r="CT102" t="s">
        <v>140</v>
      </c>
      <c r="CU102" t="s">
        <v>140</v>
      </c>
      <c r="CV102" t="s">
        <v>140</v>
      </c>
      <c r="CW102" t="s">
        <v>140</v>
      </c>
      <c r="CX102" t="s">
        <v>140</v>
      </c>
      <c r="CY102" t="s">
        <v>140</v>
      </c>
      <c r="CZ102" t="s">
        <v>140</v>
      </c>
      <c r="DA102" t="s">
        <v>140</v>
      </c>
      <c r="DB102" t="s">
        <v>140</v>
      </c>
      <c r="DC102" s="1">
        <v>0</v>
      </c>
      <c r="DD102" s="1">
        <v>0</v>
      </c>
      <c r="DE102" s="1">
        <v>0</v>
      </c>
      <c r="DF102" s="1">
        <v>0</v>
      </c>
      <c r="DG102" s="1">
        <v>0</v>
      </c>
      <c r="DH102" s="1">
        <v>0</v>
      </c>
      <c r="DI102" s="1">
        <v>0</v>
      </c>
      <c r="DJ102" s="1">
        <v>0</v>
      </c>
      <c r="DK102" s="1">
        <v>0</v>
      </c>
      <c r="DL102" s="1">
        <v>0</v>
      </c>
      <c r="DM102" s="1">
        <v>0</v>
      </c>
      <c r="DN102" s="1">
        <v>0</v>
      </c>
      <c r="DO102" s="1">
        <v>0</v>
      </c>
      <c r="DP102" s="1">
        <v>0</v>
      </c>
      <c r="DQ102" s="1">
        <v>0</v>
      </c>
      <c r="DR102" s="1">
        <v>0</v>
      </c>
      <c r="DS102" s="1">
        <v>0</v>
      </c>
      <c r="DT102" s="1">
        <v>0</v>
      </c>
      <c r="DU102" s="1">
        <v>0</v>
      </c>
      <c r="DV102" s="1">
        <v>0</v>
      </c>
      <c r="DW102" s="1">
        <v>0</v>
      </c>
      <c r="DX102" s="1">
        <v>0</v>
      </c>
      <c r="DY102" s="1">
        <v>0</v>
      </c>
      <c r="DZ102" s="1">
        <v>0</v>
      </c>
      <c r="EA102" s="1">
        <v>0</v>
      </c>
      <c r="EB102" s="1">
        <v>0</v>
      </c>
      <c r="EC102" s="1">
        <v>0</v>
      </c>
      <c r="ED102" s="1">
        <v>0</v>
      </c>
    </row>
    <row r="103" spans="1:134" x14ac:dyDescent="0.25">
      <c r="A103" t="s">
        <v>221</v>
      </c>
      <c r="B103" s="1">
        <v>0</v>
      </c>
      <c r="C103" s="1">
        <v>0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  <c r="M103" s="1">
        <v>0</v>
      </c>
      <c r="N103" t="s">
        <v>141</v>
      </c>
      <c r="O103" t="s">
        <v>140</v>
      </c>
      <c r="P103" t="s">
        <v>140</v>
      </c>
      <c r="Q103" t="s">
        <v>140</v>
      </c>
      <c r="R103" t="s">
        <v>140</v>
      </c>
      <c r="S103" t="s">
        <v>140</v>
      </c>
      <c r="T103" t="s">
        <v>140</v>
      </c>
      <c r="U103" t="s">
        <v>140</v>
      </c>
      <c r="V103" t="s">
        <v>140</v>
      </c>
      <c r="W103" t="s">
        <v>140</v>
      </c>
      <c r="X103" t="s">
        <v>140</v>
      </c>
      <c r="Y103" t="s">
        <v>140</v>
      </c>
      <c r="Z103" t="s">
        <v>140</v>
      </c>
      <c r="AA103" t="s">
        <v>140</v>
      </c>
      <c r="AB103" t="s">
        <v>140</v>
      </c>
      <c r="AC103" t="s">
        <v>140</v>
      </c>
      <c r="AD103" t="s">
        <v>140</v>
      </c>
      <c r="AE103" t="s">
        <v>140</v>
      </c>
      <c r="AF103" t="s">
        <v>140</v>
      </c>
      <c r="AG103" t="s">
        <v>140</v>
      </c>
      <c r="AH103" t="s">
        <v>140</v>
      </c>
      <c r="AI103" t="s">
        <v>140</v>
      </c>
      <c r="AJ103" t="s">
        <v>140</v>
      </c>
      <c r="AK103" t="s">
        <v>140</v>
      </c>
      <c r="AL103" t="s">
        <v>140</v>
      </c>
      <c r="AM103" t="s">
        <v>140</v>
      </c>
      <c r="AN103" t="s">
        <v>140</v>
      </c>
      <c r="AO103" t="s">
        <v>140</v>
      </c>
      <c r="AP103" t="s">
        <v>140</v>
      </c>
      <c r="AQ103" t="s">
        <v>140</v>
      </c>
      <c r="AR103" t="s">
        <v>140</v>
      </c>
      <c r="AS103" t="s">
        <v>140</v>
      </c>
      <c r="AT103" t="s">
        <v>140</v>
      </c>
      <c r="AU103" t="s">
        <v>140</v>
      </c>
      <c r="AV103" t="s">
        <v>140</v>
      </c>
      <c r="AW103" t="s">
        <v>140</v>
      </c>
      <c r="AX103" t="s">
        <v>140</v>
      </c>
      <c r="AY103" t="s">
        <v>140</v>
      </c>
      <c r="AZ103" t="s">
        <v>140</v>
      </c>
      <c r="BA103" t="s">
        <v>140</v>
      </c>
      <c r="BB103" t="s">
        <v>140</v>
      </c>
      <c r="BC103" t="s">
        <v>140</v>
      </c>
      <c r="BD103" t="s">
        <v>140</v>
      </c>
      <c r="BE103" t="s">
        <v>140</v>
      </c>
      <c r="BF103" t="s">
        <v>140</v>
      </c>
      <c r="BG103" t="s">
        <v>140</v>
      </c>
      <c r="BH103" t="s">
        <v>140</v>
      </c>
      <c r="BI103" t="s">
        <v>140</v>
      </c>
      <c r="BJ103" t="s">
        <v>140</v>
      </c>
      <c r="BK103" t="s">
        <v>140</v>
      </c>
      <c r="BL103" t="s">
        <v>140</v>
      </c>
      <c r="BM103" t="s">
        <v>140</v>
      </c>
      <c r="BN103" t="s">
        <v>140</v>
      </c>
      <c r="BO103" t="s">
        <v>140</v>
      </c>
      <c r="BP103" t="s">
        <v>140</v>
      </c>
      <c r="BQ103" t="s">
        <v>140</v>
      </c>
      <c r="BR103" t="s">
        <v>140</v>
      </c>
      <c r="BS103" t="s">
        <v>140</v>
      </c>
      <c r="BT103" t="s">
        <v>140</v>
      </c>
      <c r="BU103" t="s">
        <v>140</v>
      </c>
      <c r="BV103" t="s">
        <v>140</v>
      </c>
      <c r="BW103" t="s">
        <v>140</v>
      </c>
      <c r="BX103" t="s">
        <v>140</v>
      </c>
      <c r="BY103" t="s">
        <v>140</v>
      </c>
      <c r="BZ103" t="s">
        <v>140</v>
      </c>
      <c r="CA103" t="s">
        <v>140</v>
      </c>
      <c r="CB103" t="s">
        <v>140</v>
      </c>
      <c r="CC103" t="s">
        <v>140</v>
      </c>
      <c r="CD103" t="s">
        <v>140</v>
      </c>
      <c r="CE103" t="s">
        <v>140</v>
      </c>
      <c r="CF103" t="s">
        <v>140</v>
      </c>
      <c r="CG103" t="s">
        <v>140</v>
      </c>
      <c r="CH103" t="s">
        <v>140</v>
      </c>
      <c r="CI103" t="s">
        <v>140</v>
      </c>
      <c r="CJ103" t="s">
        <v>140</v>
      </c>
      <c r="CK103" t="s">
        <v>140</v>
      </c>
      <c r="CL103" t="s">
        <v>140</v>
      </c>
      <c r="CM103" t="s">
        <v>140</v>
      </c>
      <c r="CN103" t="s">
        <v>140</v>
      </c>
      <c r="CO103" t="s">
        <v>140</v>
      </c>
      <c r="CP103" t="s">
        <v>140</v>
      </c>
      <c r="CQ103" t="s">
        <v>140</v>
      </c>
      <c r="CR103" t="s">
        <v>140</v>
      </c>
      <c r="CS103" t="s">
        <v>140</v>
      </c>
      <c r="CT103" t="s">
        <v>140</v>
      </c>
      <c r="CU103" t="s">
        <v>140</v>
      </c>
      <c r="CV103" t="s">
        <v>140</v>
      </c>
      <c r="CW103" t="s">
        <v>140</v>
      </c>
      <c r="CX103" t="s">
        <v>140</v>
      </c>
      <c r="CY103" t="s">
        <v>140</v>
      </c>
      <c r="CZ103" t="s">
        <v>140</v>
      </c>
      <c r="DA103" t="s">
        <v>140</v>
      </c>
      <c r="DB103" t="s">
        <v>140</v>
      </c>
      <c r="DC103" s="1">
        <v>0</v>
      </c>
      <c r="DD103" s="1">
        <v>0</v>
      </c>
      <c r="DE103" s="1">
        <v>0</v>
      </c>
      <c r="DF103" s="1">
        <v>0</v>
      </c>
      <c r="DG103" s="1">
        <v>0</v>
      </c>
      <c r="DH103" s="1">
        <v>0</v>
      </c>
      <c r="DI103" s="1">
        <v>0</v>
      </c>
      <c r="DJ103" s="1">
        <v>0</v>
      </c>
      <c r="DK103" s="1">
        <v>0</v>
      </c>
      <c r="DL103" s="1">
        <v>0</v>
      </c>
      <c r="DM103" s="1">
        <v>0</v>
      </c>
      <c r="DN103" s="1">
        <v>0</v>
      </c>
      <c r="DO103" s="1">
        <v>0</v>
      </c>
      <c r="DP103" s="1">
        <v>0</v>
      </c>
      <c r="DQ103" s="1">
        <v>0</v>
      </c>
      <c r="DR103" s="1">
        <v>0</v>
      </c>
      <c r="DS103" s="1">
        <v>0</v>
      </c>
      <c r="DT103" s="1">
        <v>0</v>
      </c>
      <c r="DU103" s="1">
        <v>0</v>
      </c>
      <c r="DV103" s="1">
        <v>0</v>
      </c>
      <c r="DW103" s="1">
        <v>0</v>
      </c>
      <c r="DX103" s="1">
        <v>0</v>
      </c>
      <c r="DY103" s="1">
        <v>0</v>
      </c>
      <c r="DZ103" s="1">
        <v>0</v>
      </c>
      <c r="EA103" s="1">
        <v>0</v>
      </c>
      <c r="EB103" s="1">
        <v>0</v>
      </c>
      <c r="EC103" s="1">
        <v>0</v>
      </c>
      <c r="ED103" s="1">
        <v>0</v>
      </c>
    </row>
    <row r="104" spans="1:134" x14ac:dyDescent="0.25">
      <c r="A104" t="s">
        <v>222</v>
      </c>
      <c r="B104" s="1">
        <v>0</v>
      </c>
      <c r="C104" s="1">
        <v>0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  <c r="M104" s="1">
        <v>0</v>
      </c>
      <c r="N104" t="s">
        <v>141</v>
      </c>
      <c r="O104" t="s">
        <v>140</v>
      </c>
      <c r="P104" t="s">
        <v>140</v>
      </c>
      <c r="Q104" t="s">
        <v>140</v>
      </c>
      <c r="R104" t="s">
        <v>140</v>
      </c>
      <c r="S104" t="s">
        <v>140</v>
      </c>
      <c r="T104" t="s">
        <v>140</v>
      </c>
      <c r="U104" t="s">
        <v>140</v>
      </c>
      <c r="V104" t="s">
        <v>140</v>
      </c>
      <c r="W104" t="s">
        <v>140</v>
      </c>
      <c r="X104" t="s">
        <v>140</v>
      </c>
      <c r="Y104" t="s">
        <v>140</v>
      </c>
      <c r="Z104" t="s">
        <v>140</v>
      </c>
      <c r="AA104" t="s">
        <v>140</v>
      </c>
      <c r="AB104" t="s">
        <v>140</v>
      </c>
      <c r="AC104" t="s">
        <v>140</v>
      </c>
      <c r="AD104" t="s">
        <v>140</v>
      </c>
      <c r="AE104" t="s">
        <v>140</v>
      </c>
      <c r="AF104" t="s">
        <v>140</v>
      </c>
      <c r="AG104" t="s">
        <v>140</v>
      </c>
      <c r="AH104" t="s">
        <v>140</v>
      </c>
      <c r="AI104" t="s">
        <v>140</v>
      </c>
      <c r="AJ104" t="s">
        <v>140</v>
      </c>
      <c r="AK104" t="s">
        <v>140</v>
      </c>
      <c r="AL104" t="s">
        <v>140</v>
      </c>
      <c r="AM104" t="s">
        <v>140</v>
      </c>
      <c r="AN104" t="s">
        <v>140</v>
      </c>
      <c r="AO104" t="s">
        <v>140</v>
      </c>
      <c r="AP104" t="s">
        <v>140</v>
      </c>
      <c r="AQ104" t="s">
        <v>140</v>
      </c>
      <c r="AR104" t="s">
        <v>140</v>
      </c>
      <c r="AS104" t="s">
        <v>140</v>
      </c>
      <c r="AT104" t="s">
        <v>140</v>
      </c>
      <c r="AU104" t="s">
        <v>140</v>
      </c>
      <c r="AV104" t="s">
        <v>140</v>
      </c>
      <c r="AW104" t="s">
        <v>140</v>
      </c>
      <c r="AX104" t="s">
        <v>140</v>
      </c>
      <c r="AY104" t="s">
        <v>140</v>
      </c>
      <c r="AZ104" t="s">
        <v>140</v>
      </c>
      <c r="BA104" t="s">
        <v>140</v>
      </c>
      <c r="BB104" t="s">
        <v>140</v>
      </c>
      <c r="BC104" t="s">
        <v>140</v>
      </c>
      <c r="BD104" t="s">
        <v>140</v>
      </c>
      <c r="BE104" t="s">
        <v>140</v>
      </c>
      <c r="BF104" t="s">
        <v>140</v>
      </c>
      <c r="BG104" t="s">
        <v>140</v>
      </c>
      <c r="BH104" t="s">
        <v>140</v>
      </c>
      <c r="BI104" t="s">
        <v>140</v>
      </c>
      <c r="BJ104" t="s">
        <v>140</v>
      </c>
      <c r="BK104" t="s">
        <v>140</v>
      </c>
      <c r="BL104" t="s">
        <v>140</v>
      </c>
      <c r="BM104" t="s">
        <v>140</v>
      </c>
      <c r="BN104" t="s">
        <v>140</v>
      </c>
      <c r="BO104" t="s">
        <v>140</v>
      </c>
      <c r="BP104" t="s">
        <v>140</v>
      </c>
      <c r="BQ104" t="s">
        <v>140</v>
      </c>
      <c r="BR104" t="s">
        <v>140</v>
      </c>
      <c r="BS104" t="s">
        <v>140</v>
      </c>
      <c r="BT104" t="s">
        <v>140</v>
      </c>
      <c r="BU104" t="s">
        <v>140</v>
      </c>
      <c r="BV104" t="s">
        <v>140</v>
      </c>
      <c r="BW104" t="s">
        <v>140</v>
      </c>
      <c r="BX104" t="s">
        <v>140</v>
      </c>
      <c r="BY104" t="s">
        <v>140</v>
      </c>
      <c r="BZ104" t="s">
        <v>140</v>
      </c>
      <c r="CA104" t="s">
        <v>140</v>
      </c>
      <c r="CB104" t="s">
        <v>140</v>
      </c>
      <c r="CC104" t="s">
        <v>140</v>
      </c>
      <c r="CD104" t="s">
        <v>140</v>
      </c>
      <c r="CE104" t="s">
        <v>140</v>
      </c>
      <c r="CF104" t="s">
        <v>140</v>
      </c>
      <c r="CG104" t="s">
        <v>140</v>
      </c>
      <c r="CH104" t="s">
        <v>140</v>
      </c>
      <c r="CI104" t="s">
        <v>140</v>
      </c>
      <c r="CJ104" t="s">
        <v>140</v>
      </c>
      <c r="CK104" t="s">
        <v>140</v>
      </c>
      <c r="CL104" t="s">
        <v>140</v>
      </c>
      <c r="CM104" t="s">
        <v>140</v>
      </c>
      <c r="CN104" t="s">
        <v>140</v>
      </c>
      <c r="CO104" t="s">
        <v>140</v>
      </c>
      <c r="CP104" t="s">
        <v>140</v>
      </c>
      <c r="CQ104" t="s">
        <v>140</v>
      </c>
      <c r="CR104" t="s">
        <v>140</v>
      </c>
      <c r="CS104" t="s">
        <v>140</v>
      </c>
      <c r="CT104" t="s">
        <v>140</v>
      </c>
      <c r="CU104" t="s">
        <v>140</v>
      </c>
      <c r="CV104" t="s">
        <v>140</v>
      </c>
      <c r="CW104" t="s">
        <v>140</v>
      </c>
      <c r="CX104" t="s">
        <v>140</v>
      </c>
      <c r="CY104" t="s">
        <v>140</v>
      </c>
      <c r="CZ104" t="s">
        <v>140</v>
      </c>
      <c r="DA104" t="s">
        <v>140</v>
      </c>
      <c r="DB104" t="s">
        <v>140</v>
      </c>
      <c r="DC104" s="1">
        <v>0</v>
      </c>
      <c r="DD104" s="1">
        <v>0</v>
      </c>
      <c r="DE104" s="1">
        <v>0</v>
      </c>
      <c r="DF104" s="1">
        <v>0</v>
      </c>
      <c r="DG104" s="1">
        <v>0</v>
      </c>
      <c r="DH104" s="1">
        <v>0</v>
      </c>
      <c r="DI104" s="1">
        <v>0</v>
      </c>
      <c r="DJ104" s="1">
        <v>0</v>
      </c>
      <c r="DK104" s="1">
        <v>0</v>
      </c>
      <c r="DL104" s="1">
        <v>0</v>
      </c>
      <c r="DM104" s="1">
        <v>0</v>
      </c>
      <c r="DN104" s="1">
        <v>0</v>
      </c>
      <c r="DO104" s="1">
        <v>0</v>
      </c>
      <c r="DP104" s="1">
        <v>0</v>
      </c>
      <c r="DQ104" s="1">
        <v>0</v>
      </c>
      <c r="DR104" s="1">
        <v>0</v>
      </c>
      <c r="DS104" s="1">
        <v>0</v>
      </c>
      <c r="DT104" s="1">
        <v>0</v>
      </c>
      <c r="DU104" s="1">
        <v>0</v>
      </c>
      <c r="DV104" s="1">
        <v>0</v>
      </c>
      <c r="DW104" s="1">
        <v>0</v>
      </c>
      <c r="DX104" s="1">
        <v>0</v>
      </c>
      <c r="DY104" s="1">
        <v>0</v>
      </c>
      <c r="DZ104" s="1">
        <v>0</v>
      </c>
      <c r="EA104" s="1">
        <v>0</v>
      </c>
      <c r="EB104" s="1">
        <v>0</v>
      </c>
      <c r="EC104" s="1">
        <v>0</v>
      </c>
      <c r="ED104" s="1">
        <v>0</v>
      </c>
    </row>
    <row r="105" spans="1:134" x14ac:dyDescent="0.25">
      <c r="A105" t="s">
        <v>223</v>
      </c>
      <c r="B105" s="1">
        <v>0</v>
      </c>
      <c r="C105" s="1">
        <v>0</v>
      </c>
      <c r="D105" s="1">
        <v>0</v>
      </c>
      <c r="E105" s="1">
        <v>0</v>
      </c>
      <c r="F105" s="1">
        <v>0</v>
      </c>
      <c r="G105" s="1">
        <v>3060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  <c r="M105" s="1">
        <v>0</v>
      </c>
      <c r="N105" t="s">
        <v>141</v>
      </c>
      <c r="O105" t="s">
        <v>140</v>
      </c>
      <c r="P105" t="s">
        <v>140</v>
      </c>
      <c r="Q105" t="s">
        <v>140</v>
      </c>
      <c r="R105" t="s">
        <v>140</v>
      </c>
      <c r="S105" t="s">
        <v>140</v>
      </c>
      <c r="T105" t="s">
        <v>140</v>
      </c>
      <c r="U105" t="s">
        <v>140</v>
      </c>
      <c r="V105" t="s">
        <v>140</v>
      </c>
      <c r="W105" t="s">
        <v>140</v>
      </c>
      <c r="X105" t="s">
        <v>140</v>
      </c>
      <c r="Y105" t="s">
        <v>140</v>
      </c>
      <c r="Z105" t="s">
        <v>140</v>
      </c>
      <c r="AA105" t="s">
        <v>140</v>
      </c>
      <c r="AB105" t="s">
        <v>140</v>
      </c>
      <c r="AC105" t="s">
        <v>140</v>
      </c>
      <c r="AD105" t="s">
        <v>140</v>
      </c>
      <c r="AE105" t="s">
        <v>140</v>
      </c>
      <c r="AF105" t="s">
        <v>140</v>
      </c>
      <c r="AG105" t="s">
        <v>140</v>
      </c>
      <c r="AH105" t="s">
        <v>140</v>
      </c>
      <c r="AI105" t="s">
        <v>140</v>
      </c>
      <c r="AJ105" t="s">
        <v>140</v>
      </c>
      <c r="AK105" t="s">
        <v>140</v>
      </c>
      <c r="AL105" t="s">
        <v>140</v>
      </c>
      <c r="AM105" t="s">
        <v>140</v>
      </c>
      <c r="AN105" t="s">
        <v>140</v>
      </c>
      <c r="AO105" t="s">
        <v>140</v>
      </c>
      <c r="AP105" t="s">
        <v>140</v>
      </c>
      <c r="AQ105" t="s">
        <v>140</v>
      </c>
      <c r="AR105" t="s">
        <v>140</v>
      </c>
      <c r="AS105" t="s">
        <v>140</v>
      </c>
      <c r="AT105" t="s">
        <v>140</v>
      </c>
      <c r="AU105" t="s">
        <v>140</v>
      </c>
      <c r="AV105" t="s">
        <v>140</v>
      </c>
      <c r="AW105" t="s">
        <v>140</v>
      </c>
      <c r="AX105" t="s">
        <v>140</v>
      </c>
      <c r="AY105" t="s">
        <v>140</v>
      </c>
      <c r="AZ105" t="s">
        <v>140</v>
      </c>
      <c r="BA105" t="s">
        <v>140</v>
      </c>
      <c r="BB105" t="s">
        <v>140</v>
      </c>
      <c r="BC105" t="s">
        <v>140</v>
      </c>
      <c r="BD105" t="s">
        <v>140</v>
      </c>
      <c r="BE105" t="s">
        <v>140</v>
      </c>
      <c r="BF105" t="s">
        <v>140</v>
      </c>
      <c r="BG105" t="s">
        <v>140</v>
      </c>
      <c r="BH105" t="s">
        <v>140</v>
      </c>
      <c r="BI105" t="s">
        <v>140</v>
      </c>
      <c r="BJ105" t="s">
        <v>140</v>
      </c>
      <c r="BK105" t="s">
        <v>140</v>
      </c>
      <c r="BL105" t="s">
        <v>140</v>
      </c>
      <c r="BM105" t="s">
        <v>140</v>
      </c>
      <c r="BN105" t="s">
        <v>140</v>
      </c>
      <c r="BO105" t="s">
        <v>140</v>
      </c>
      <c r="BP105" t="s">
        <v>140</v>
      </c>
      <c r="BQ105" t="s">
        <v>140</v>
      </c>
      <c r="BR105" t="s">
        <v>140</v>
      </c>
      <c r="BS105" t="s">
        <v>140</v>
      </c>
      <c r="BT105" t="s">
        <v>140</v>
      </c>
      <c r="BU105" t="s">
        <v>140</v>
      </c>
      <c r="BV105" t="s">
        <v>140</v>
      </c>
      <c r="BW105" t="s">
        <v>140</v>
      </c>
      <c r="BX105" t="s">
        <v>140</v>
      </c>
      <c r="BY105" t="s">
        <v>140</v>
      </c>
      <c r="BZ105" t="s">
        <v>140</v>
      </c>
      <c r="CA105" t="s">
        <v>140</v>
      </c>
      <c r="CB105" t="s">
        <v>140</v>
      </c>
      <c r="CC105" t="s">
        <v>140</v>
      </c>
      <c r="CD105" t="s">
        <v>140</v>
      </c>
      <c r="CE105" t="s">
        <v>140</v>
      </c>
      <c r="CF105" t="s">
        <v>140</v>
      </c>
      <c r="CG105" t="s">
        <v>140</v>
      </c>
      <c r="CH105" t="s">
        <v>140</v>
      </c>
      <c r="CI105" t="s">
        <v>140</v>
      </c>
      <c r="CJ105" t="s">
        <v>140</v>
      </c>
      <c r="CK105" t="s">
        <v>140</v>
      </c>
      <c r="CL105" t="s">
        <v>140</v>
      </c>
      <c r="CM105" t="s">
        <v>140</v>
      </c>
      <c r="CN105" t="s">
        <v>140</v>
      </c>
      <c r="CO105" t="s">
        <v>140</v>
      </c>
      <c r="CP105" t="s">
        <v>140</v>
      </c>
      <c r="CQ105" t="s">
        <v>140</v>
      </c>
      <c r="CR105" t="s">
        <v>140</v>
      </c>
      <c r="CS105" t="s">
        <v>140</v>
      </c>
      <c r="CT105" t="s">
        <v>140</v>
      </c>
      <c r="CU105" t="s">
        <v>140</v>
      </c>
      <c r="CV105" t="s">
        <v>140</v>
      </c>
      <c r="CW105" t="s">
        <v>140</v>
      </c>
      <c r="CX105" t="s">
        <v>140</v>
      </c>
      <c r="CY105" t="s">
        <v>140</v>
      </c>
      <c r="CZ105" t="s">
        <v>140</v>
      </c>
      <c r="DA105" t="s">
        <v>140</v>
      </c>
      <c r="DB105" t="s">
        <v>140</v>
      </c>
      <c r="DC105" s="1">
        <v>0</v>
      </c>
      <c r="DD105" s="1">
        <v>0</v>
      </c>
      <c r="DE105" s="1">
        <v>0</v>
      </c>
      <c r="DF105" s="1">
        <v>0</v>
      </c>
      <c r="DG105" s="1">
        <v>0</v>
      </c>
      <c r="DH105" s="1">
        <v>0</v>
      </c>
      <c r="DI105" s="1">
        <v>0</v>
      </c>
      <c r="DJ105" s="1">
        <v>0</v>
      </c>
      <c r="DK105" s="1">
        <v>0</v>
      </c>
      <c r="DL105" s="1">
        <v>0</v>
      </c>
      <c r="DM105" s="1">
        <v>0</v>
      </c>
      <c r="DN105" s="1">
        <v>0</v>
      </c>
      <c r="DO105" s="1">
        <v>0</v>
      </c>
      <c r="DP105" s="1">
        <v>0</v>
      </c>
      <c r="DQ105" s="1">
        <v>1604</v>
      </c>
      <c r="DR105" s="1">
        <v>0</v>
      </c>
      <c r="DS105" s="1">
        <v>1317</v>
      </c>
      <c r="DT105" s="1">
        <v>3060</v>
      </c>
      <c r="DU105" s="1">
        <v>0</v>
      </c>
      <c r="DV105" s="1">
        <v>0</v>
      </c>
      <c r="DW105" s="1">
        <v>0</v>
      </c>
      <c r="DX105" s="1">
        <v>0</v>
      </c>
      <c r="DY105" s="1">
        <v>0</v>
      </c>
      <c r="DZ105" s="1">
        <v>0</v>
      </c>
      <c r="EA105" s="1">
        <v>0</v>
      </c>
      <c r="EB105" s="1">
        <v>0</v>
      </c>
      <c r="EC105" s="1">
        <v>0</v>
      </c>
      <c r="ED105" s="1">
        <v>0</v>
      </c>
    </row>
    <row r="106" spans="1:134" x14ac:dyDescent="0.25">
      <c r="A106" t="s">
        <v>224</v>
      </c>
      <c r="B106" s="1">
        <v>0</v>
      </c>
      <c r="C106" s="1">
        <v>0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  <c r="M106" s="1">
        <v>0</v>
      </c>
      <c r="N106" t="s">
        <v>141</v>
      </c>
      <c r="O106" t="s">
        <v>140</v>
      </c>
      <c r="P106" t="s">
        <v>140</v>
      </c>
      <c r="Q106" t="s">
        <v>140</v>
      </c>
      <c r="R106" t="s">
        <v>140</v>
      </c>
      <c r="S106" t="s">
        <v>140</v>
      </c>
      <c r="T106" t="s">
        <v>140</v>
      </c>
      <c r="U106" t="s">
        <v>140</v>
      </c>
      <c r="V106" t="s">
        <v>140</v>
      </c>
      <c r="W106" t="s">
        <v>140</v>
      </c>
      <c r="X106" t="s">
        <v>140</v>
      </c>
      <c r="Y106" t="s">
        <v>140</v>
      </c>
      <c r="Z106" t="s">
        <v>140</v>
      </c>
      <c r="AA106" t="s">
        <v>140</v>
      </c>
      <c r="AB106" t="s">
        <v>140</v>
      </c>
      <c r="AC106" t="s">
        <v>140</v>
      </c>
      <c r="AD106" t="s">
        <v>140</v>
      </c>
      <c r="AE106" t="s">
        <v>140</v>
      </c>
      <c r="AF106" t="s">
        <v>140</v>
      </c>
      <c r="AG106" t="s">
        <v>140</v>
      </c>
      <c r="AH106" t="s">
        <v>140</v>
      </c>
      <c r="AI106" t="s">
        <v>140</v>
      </c>
      <c r="AJ106" t="s">
        <v>140</v>
      </c>
      <c r="AK106" t="s">
        <v>140</v>
      </c>
      <c r="AL106" t="s">
        <v>140</v>
      </c>
      <c r="AM106" t="s">
        <v>140</v>
      </c>
      <c r="AN106" t="s">
        <v>140</v>
      </c>
      <c r="AO106" t="s">
        <v>140</v>
      </c>
      <c r="AP106" t="s">
        <v>140</v>
      </c>
      <c r="AQ106" t="s">
        <v>140</v>
      </c>
      <c r="AR106" t="s">
        <v>140</v>
      </c>
      <c r="AS106" t="s">
        <v>140</v>
      </c>
      <c r="AT106" t="s">
        <v>140</v>
      </c>
      <c r="AU106" t="s">
        <v>140</v>
      </c>
      <c r="AV106" t="s">
        <v>140</v>
      </c>
      <c r="AW106" t="s">
        <v>140</v>
      </c>
      <c r="AX106" t="s">
        <v>140</v>
      </c>
      <c r="AY106" t="s">
        <v>140</v>
      </c>
      <c r="AZ106" t="s">
        <v>140</v>
      </c>
      <c r="BA106" t="s">
        <v>140</v>
      </c>
      <c r="BB106" t="s">
        <v>140</v>
      </c>
      <c r="BC106" t="s">
        <v>140</v>
      </c>
      <c r="BD106" t="s">
        <v>140</v>
      </c>
      <c r="BE106" t="s">
        <v>140</v>
      </c>
      <c r="BF106" t="s">
        <v>140</v>
      </c>
      <c r="BG106" t="s">
        <v>140</v>
      </c>
      <c r="BH106" t="s">
        <v>140</v>
      </c>
      <c r="BI106" t="s">
        <v>140</v>
      </c>
      <c r="BJ106" t="s">
        <v>140</v>
      </c>
      <c r="BK106" t="s">
        <v>140</v>
      </c>
      <c r="BL106" t="s">
        <v>140</v>
      </c>
      <c r="BM106" t="s">
        <v>140</v>
      </c>
      <c r="BN106" t="s">
        <v>140</v>
      </c>
      <c r="BO106" t="s">
        <v>140</v>
      </c>
      <c r="BP106" t="s">
        <v>140</v>
      </c>
      <c r="BQ106" t="s">
        <v>140</v>
      </c>
      <c r="BR106" t="s">
        <v>140</v>
      </c>
      <c r="BS106" t="s">
        <v>140</v>
      </c>
      <c r="BT106" t="s">
        <v>140</v>
      </c>
      <c r="BU106" t="s">
        <v>140</v>
      </c>
      <c r="BV106" t="s">
        <v>140</v>
      </c>
      <c r="BW106" t="s">
        <v>140</v>
      </c>
      <c r="BX106" t="s">
        <v>140</v>
      </c>
      <c r="BY106" t="s">
        <v>140</v>
      </c>
      <c r="BZ106" t="s">
        <v>140</v>
      </c>
      <c r="CA106" t="s">
        <v>140</v>
      </c>
      <c r="CB106" t="s">
        <v>140</v>
      </c>
      <c r="CC106" t="s">
        <v>140</v>
      </c>
      <c r="CD106" t="s">
        <v>140</v>
      </c>
      <c r="CE106" t="s">
        <v>140</v>
      </c>
      <c r="CF106" t="s">
        <v>140</v>
      </c>
      <c r="CG106" t="s">
        <v>140</v>
      </c>
      <c r="CH106" t="s">
        <v>140</v>
      </c>
      <c r="CI106" t="s">
        <v>140</v>
      </c>
      <c r="CJ106" t="s">
        <v>140</v>
      </c>
      <c r="CK106" t="s">
        <v>140</v>
      </c>
      <c r="CL106" t="s">
        <v>140</v>
      </c>
      <c r="CM106" t="s">
        <v>140</v>
      </c>
      <c r="CN106" t="s">
        <v>140</v>
      </c>
      <c r="CO106" t="s">
        <v>140</v>
      </c>
      <c r="CP106" t="s">
        <v>140</v>
      </c>
      <c r="CQ106" t="s">
        <v>140</v>
      </c>
      <c r="CR106" t="s">
        <v>140</v>
      </c>
      <c r="CS106" t="s">
        <v>140</v>
      </c>
      <c r="CT106" t="s">
        <v>140</v>
      </c>
      <c r="CU106" t="s">
        <v>140</v>
      </c>
      <c r="CV106" t="s">
        <v>140</v>
      </c>
      <c r="CW106" t="s">
        <v>140</v>
      </c>
      <c r="CX106" t="s">
        <v>140</v>
      </c>
      <c r="CY106" t="s">
        <v>140</v>
      </c>
      <c r="CZ106" t="s">
        <v>140</v>
      </c>
      <c r="DA106" t="s">
        <v>140</v>
      </c>
      <c r="DB106" t="s">
        <v>140</v>
      </c>
      <c r="DC106" s="1">
        <v>0</v>
      </c>
      <c r="DD106" s="1">
        <v>0</v>
      </c>
      <c r="DE106" s="1">
        <v>0</v>
      </c>
      <c r="DF106" s="1">
        <v>0</v>
      </c>
      <c r="DG106" s="1">
        <v>0</v>
      </c>
      <c r="DH106" s="1">
        <v>0</v>
      </c>
      <c r="DI106" s="1">
        <v>0</v>
      </c>
      <c r="DJ106" s="1">
        <v>0</v>
      </c>
      <c r="DK106" s="1">
        <v>0</v>
      </c>
      <c r="DL106" s="1">
        <v>0</v>
      </c>
      <c r="DM106" s="1">
        <v>0</v>
      </c>
      <c r="DN106" s="1">
        <v>0</v>
      </c>
      <c r="DO106" s="1">
        <v>0</v>
      </c>
      <c r="DP106" s="1">
        <v>0</v>
      </c>
      <c r="DQ106" s="1">
        <v>0</v>
      </c>
      <c r="DR106" s="1">
        <v>0</v>
      </c>
      <c r="DS106" s="1">
        <v>0</v>
      </c>
      <c r="DT106" s="1">
        <v>0</v>
      </c>
      <c r="DU106" s="1">
        <v>0</v>
      </c>
      <c r="DV106" s="1">
        <v>0</v>
      </c>
      <c r="DW106" s="1">
        <v>0</v>
      </c>
      <c r="DX106" s="1">
        <v>0</v>
      </c>
      <c r="DY106" s="1">
        <v>0</v>
      </c>
      <c r="DZ106" s="1">
        <v>0</v>
      </c>
      <c r="EA106" s="1">
        <v>0</v>
      </c>
      <c r="EB106" s="1">
        <v>0</v>
      </c>
      <c r="EC106" s="1">
        <v>0</v>
      </c>
      <c r="ED106" s="1">
        <v>0</v>
      </c>
    </row>
    <row r="107" spans="1:134" x14ac:dyDescent="0.25">
      <c r="A107" t="s">
        <v>225</v>
      </c>
      <c r="B107" s="1">
        <v>0</v>
      </c>
      <c r="C107" s="1">
        <v>0</v>
      </c>
      <c r="D107" s="1">
        <v>0</v>
      </c>
      <c r="E107" s="1">
        <v>0</v>
      </c>
      <c r="F107" s="1">
        <v>0</v>
      </c>
      <c r="G107" s="1">
        <v>3060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  <c r="M107" s="1">
        <v>0</v>
      </c>
      <c r="N107" t="s">
        <v>141</v>
      </c>
      <c r="O107" t="s">
        <v>140</v>
      </c>
      <c r="P107" t="s">
        <v>140</v>
      </c>
      <c r="Q107" t="s">
        <v>140</v>
      </c>
      <c r="R107" t="s">
        <v>140</v>
      </c>
      <c r="S107" t="s">
        <v>140</v>
      </c>
      <c r="T107" t="s">
        <v>140</v>
      </c>
      <c r="U107" t="s">
        <v>140</v>
      </c>
      <c r="V107" t="s">
        <v>140</v>
      </c>
      <c r="W107" t="s">
        <v>140</v>
      </c>
      <c r="X107" t="s">
        <v>140</v>
      </c>
      <c r="Y107" t="s">
        <v>140</v>
      </c>
      <c r="Z107" t="s">
        <v>140</v>
      </c>
      <c r="AA107" t="s">
        <v>140</v>
      </c>
      <c r="AB107" t="s">
        <v>140</v>
      </c>
      <c r="AC107" t="s">
        <v>140</v>
      </c>
      <c r="AD107" t="s">
        <v>140</v>
      </c>
      <c r="AE107" t="s">
        <v>140</v>
      </c>
      <c r="AF107" t="s">
        <v>140</v>
      </c>
      <c r="AG107" t="s">
        <v>140</v>
      </c>
      <c r="AH107" t="s">
        <v>140</v>
      </c>
      <c r="AI107" t="s">
        <v>140</v>
      </c>
      <c r="AJ107" t="s">
        <v>140</v>
      </c>
      <c r="AK107" t="s">
        <v>140</v>
      </c>
      <c r="AL107" t="s">
        <v>140</v>
      </c>
      <c r="AM107" t="s">
        <v>140</v>
      </c>
      <c r="AN107" t="s">
        <v>140</v>
      </c>
      <c r="AO107" t="s">
        <v>140</v>
      </c>
      <c r="AP107" t="s">
        <v>140</v>
      </c>
      <c r="AQ107" t="s">
        <v>140</v>
      </c>
      <c r="AR107" t="s">
        <v>140</v>
      </c>
      <c r="AS107" t="s">
        <v>140</v>
      </c>
      <c r="AT107" t="s">
        <v>140</v>
      </c>
      <c r="AU107" t="s">
        <v>140</v>
      </c>
      <c r="AV107" t="s">
        <v>140</v>
      </c>
      <c r="AW107" t="s">
        <v>140</v>
      </c>
      <c r="AX107" t="s">
        <v>140</v>
      </c>
      <c r="AY107" t="s">
        <v>140</v>
      </c>
      <c r="AZ107" t="s">
        <v>140</v>
      </c>
      <c r="BA107" t="s">
        <v>140</v>
      </c>
      <c r="BB107" t="s">
        <v>140</v>
      </c>
      <c r="BC107" t="s">
        <v>140</v>
      </c>
      <c r="BD107" t="s">
        <v>140</v>
      </c>
      <c r="BE107" t="s">
        <v>140</v>
      </c>
      <c r="BF107" t="s">
        <v>140</v>
      </c>
      <c r="BG107" t="s">
        <v>140</v>
      </c>
      <c r="BH107" t="s">
        <v>140</v>
      </c>
      <c r="BI107" t="s">
        <v>140</v>
      </c>
      <c r="BJ107" t="s">
        <v>140</v>
      </c>
      <c r="BK107" t="s">
        <v>140</v>
      </c>
      <c r="BL107" t="s">
        <v>140</v>
      </c>
      <c r="BM107" t="s">
        <v>140</v>
      </c>
      <c r="BN107" t="s">
        <v>140</v>
      </c>
      <c r="BO107" t="s">
        <v>140</v>
      </c>
      <c r="BP107" t="s">
        <v>140</v>
      </c>
      <c r="BQ107" t="s">
        <v>140</v>
      </c>
      <c r="BR107" t="s">
        <v>140</v>
      </c>
      <c r="BS107" t="s">
        <v>140</v>
      </c>
      <c r="BT107" t="s">
        <v>140</v>
      </c>
      <c r="BU107" t="s">
        <v>140</v>
      </c>
      <c r="BV107" t="s">
        <v>140</v>
      </c>
      <c r="BW107" t="s">
        <v>140</v>
      </c>
      <c r="BX107" t="s">
        <v>140</v>
      </c>
      <c r="BY107" t="s">
        <v>140</v>
      </c>
      <c r="BZ107" t="s">
        <v>140</v>
      </c>
      <c r="CA107" t="s">
        <v>140</v>
      </c>
      <c r="CB107" t="s">
        <v>140</v>
      </c>
      <c r="CC107" t="s">
        <v>140</v>
      </c>
      <c r="CD107" t="s">
        <v>140</v>
      </c>
      <c r="CE107" t="s">
        <v>140</v>
      </c>
      <c r="CF107" t="s">
        <v>140</v>
      </c>
      <c r="CG107" t="s">
        <v>140</v>
      </c>
      <c r="CH107" t="s">
        <v>140</v>
      </c>
      <c r="CI107" t="s">
        <v>140</v>
      </c>
      <c r="CJ107" t="s">
        <v>140</v>
      </c>
      <c r="CK107" t="s">
        <v>140</v>
      </c>
      <c r="CL107" t="s">
        <v>140</v>
      </c>
      <c r="CM107" t="s">
        <v>140</v>
      </c>
      <c r="CN107" t="s">
        <v>140</v>
      </c>
      <c r="CO107" t="s">
        <v>140</v>
      </c>
      <c r="CP107" t="s">
        <v>140</v>
      </c>
      <c r="CQ107" t="s">
        <v>140</v>
      </c>
      <c r="CR107" t="s">
        <v>140</v>
      </c>
      <c r="CS107" t="s">
        <v>140</v>
      </c>
      <c r="CT107" t="s">
        <v>140</v>
      </c>
      <c r="CU107" t="s">
        <v>140</v>
      </c>
      <c r="CV107" t="s">
        <v>140</v>
      </c>
      <c r="CW107" t="s">
        <v>140</v>
      </c>
      <c r="CX107" t="s">
        <v>140</v>
      </c>
      <c r="CY107" t="s">
        <v>140</v>
      </c>
      <c r="CZ107" t="s">
        <v>140</v>
      </c>
      <c r="DA107" t="s">
        <v>140</v>
      </c>
      <c r="DB107" t="s">
        <v>140</v>
      </c>
      <c r="DC107" s="1">
        <v>0</v>
      </c>
      <c r="DD107" s="1">
        <v>0</v>
      </c>
      <c r="DE107" s="1">
        <v>0</v>
      </c>
      <c r="DF107" s="1">
        <v>0</v>
      </c>
      <c r="DG107" s="1">
        <v>0</v>
      </c>
      <c r="DH107" s="1">
        <v>0</v>
      </c>
      <c r="DI107" s="1">
        <v>0</v>
      </c>
      <c r="DJ107" s="1">
        <v>0</v>
      </c>
      <c r="DK107" s="1">
        <v>0</v>
      </c>
      <c r="DL107" s="1">
        <v>0</v>
      </c>
      <c r="DM107" s="1">
        <v>0</v>
      </c>
      <c r="DN107" s="1">
        <v>0</v>
      </c>
      <c r="DO107" s="1">
        <v>0</v>
      </c>
      <c r="DP107" s="1">
        <v>0</v>
      </c>
      <c r="DQ107" s="1">
        <v>1604</v>
      </c>
      <c r="DR107" s="1">
        <v>0</v>
      </c>
      <c r="DS107" s="1">
        <v>1317</v>
      </c>
      <c r="DT107" s="1">
        <v>3060</v>
      </c>
      <c r="DU107" s="1">
        <v>0</v>
      </c>
      <c r="DV107" s="1">
        <v>0</v>
      </c>
      <c r="DW107" s="1">
        <v>0</v>
      </c>
      <c r="DX107" s="1">
        <v>0</v>
      </c>
      <c r="DY107" s="1">
        <v>0</v>
      </c>
      <c r="DZ107" s="1">
        <v>0</v>
      </c>
      <c r="EA107" s="1">
        <v>0</v>
      </c>
      <c r="EB107" s="1">
        <v>0</v>
      </c>
      <c r="EC107" s="1">
        <v>0</v>
      </c>
      <c r="ED107" s="1">
        <v>0</v>
      </c>
    </row>
    <row r="108" spans="1:134" x14ac:dyDescent="0.25">
      <c r="A108" t="s">
        <v>226</v>
      </c>
      <c r="B108" s="1">
        <v>191</v>
      </c>
      <c r="C108" s="1">
        <v>190</v>
      </c>
      <c r="D108" s="1">
        <v>262</v>
      </c>
      <c r="E108" s="1">
        <v>238</v>
      </c>
      <c r="F108" s="1">
        <v>284</v>
      </c>
      <c r="G108" s="1">
        <v>418</v>
      </c>
      <c r="H108" s="1">
        <v>502</v>
      </c>
      <c r="I108" s="1">
        <v>707</v>
      </c>
      <c r="J108" s="1">
        <v>928</v>
      </c>
      <c r="K108" s="1">
        <v>1518</v>
      </c>
      <c r="L108" s="1">
        <v>3375</v>
      </c>
      <c r="M108" s="1">
        <v>3375</v>
      </c>
      <c r="N108" t="s">
        <v>141</v>
      </c>
      <c r="O108" t="s">
        <v>140</v>
      </c>
      <c r="P108" t="s">
        <v>140</v>
      </c>
      <c r="Q108" t="s">
        <v>140</v>
      </c>
      <c r="R108" t="s">
        <v>140</v>
      </c>
      <c r="S108" t="s">
        <v>140</v>
      </c>
      <c r="T108" t="s">
        <v>140</v>
      </c>
      <c r="U108" t="s">
        <v>140</v>
      </c>
      <c r="V108" t="s">
        <v>140</v>
      </c>
      <c r="W108" t="s">
        <v>140</v>
      </c>
      <c r="X108" t="s">
        <v>140</v>
      </c>
      <c r="Y108" t="s">
        <v>140</v>
      </c>
      <c r="Z108" t="s">
        <v>140</v>
      </c>
      <c r="AA108" t="s">
        <v>140</v>
      </c>
      <c r="AB108" t="s">
        <v>140</v>
      </c>
      <c r="AC108" t="s">
        <v>140</v>
      </c>
      <c r="AD108" t="s">
        <v>140</v>
      </c>
      <c r="AE108" t="s">
        <v>140</v>
      </c>
      <c r="AF108" t="s">
        <v>140</v>
      </c>
      <c r="AG108" t="s">
        <v>140</v>
      </c>
      <c r="AH108" t="s">
        <v>140</v>
      </c>
      <c r="AI108" t="s">
        <v>140</v>
      </c>
      <c r="AJ108" t="s">
        <v>140</v>
      </c>
      <c r="AK108" t="s">
        <v>140</v>
      </c>
      <c r="AL108" t="s">
        <v>140</v>
      </c>
      <c r="AM108" t="s">
        <v>140</v>
      </c>
      <c r="AN108" t="s">
        <v>140</v>
      </c>
      <c r="AO108" t="s">
        <v>140</v>
      </c>
      <c r="AP108" t="s">
        <v>140</v>
      </c>
      <c r="AQ108" t="s">
        <v>140</v>
      </c>
      <c r="AR108" t="s">
        <v>140</v>
      </c>
      <c r="AS108" t="s">
        <v>140</v>
      </c>
      <c r="AT108" t="s">
        <v>140</v>
      </c>
      <c r="AU108" t="s">
        <v>140</v>
      </c>
      <c r="AV108" t="s">
        <v>140</v>
      </c>
      <c r="AW108" t="s">
        <v>140</v>
      </c>
      <c r="AX108" t="s">
        <v>140</v>
      </c>
      <c r="AY108" t="s">
        <v>140</v>
      </c>
      <c r="AZ108" t="s">
        <v>140</v>
      </c>
      <c r="BA108" t="s">
        <v>140</v>
      </c>
      <c r="BB108" t="s">
        <v>140</v>
      </c>
      <c r="BC108" t="s">
        <v>140</v>
      </c>
      <c r="BD108" t="s">
        <v>140</v>
      </c>
      <c r="BE108" t="s">
        <v>140</v>
      </c>
      <c r="BF108" t="s">
        <v>140</v>
      </c>
      <c r="BG108" t="s">
        <v>140</v>
      </c>
      <c r="BH108" t="s">
        <v>140</v>
      </c>
      <c r="BI108" t="s">
        <v>140</v>
      </c>
      <c r="BJ108" t="s">
        <v>140</v>
      </c>
      <c r="BK108" t="s">
        <v>140</v>
      </c>
      <c r="BL108" t="s">
        <v>140</v>
      </c>
      <c r="BM108" t="s">
        <v>140</v>
      </c>
      <c r="BN108" t="s">
        <v>140</v>
      </c>
      <c r="BO108" t="s">
        <v>140</v>
      </c>
      <c r="BP108" t="s">
        <v>140</v>
      </c>
      <c r="BQ108" t="s">
        <v>140</v>
      </c>
      <c r="BR108" t="s">
        <v>140</v>
      </c>
      <c r="BS108" t="s">
        <v>140</v>
      </c>
      <c r="BT108" t="s">
        <v>140</v>
      </c>
      <c r="BU108" t="s">
        <v>140</v>
      </c>
      <c r="BV108" t="s">
        <v>140</v>
      </c>
      <c r="BW108" t="s">
        <v>140</v>
      </c>
      <c r="BX108" t="s">
        <v>140</v>
      </c>
      <c r="BY108" t="s">
        <v>140</v>
      </c>
      <c r="BZ108" t="s">
        <v>140</v>
      </c>
      <c r="CA108" t="s">
        <v>140</v>
      </c>
      <c r="CB108" t="s">
        <v>140</v>
      </c>
      <c r="CC108" t="s">
        <v>140</v>
      </c>
      <c r="CD108" t="s">
        <v>140</v>
      </c>
      <c r="CE108" t="s">
        <v>140</v>
      </c>
      <c r="CF108" t="s">
        <v>140</v>
      </c>
      <c r="CG108" t="s">
        <v>140</v>
      </c>
      <c r="CH108" t="s">
        <v>140</v>
      </c>
      <c r="CI108" t="s">
        <v>140</v>
      </c>
      <c r="CJ108" t="s">
        <v>140</v>
      </c>
      <c r="CK108" t="s">
        <v>140</v>
      </c>
      <c r="CL108" t="s">
        <v>140</v>
      </c>
      <c r="CM108" t="s">
        <v>140</v>
      </c>
      <c r="CN108" t="s">
        <v>140</v>
      </c>
      <c r="CO108" t="s">
        <v>140</v>
      </c>
      <c r="CP108" t="s">
        <v>140</v>
      </c>
      <c r="CQ108" t="s">
        <v>140</v>
      </c>
      <c r="CR108" t="s">
        <v>140</v>
      </c>
      <c r="CS108" t="s">
        <v>140</v>
      </c>
      <c r="CT108" t="s">
        <v>140</v>
      </c>
      <c r="CU108" t="s">
        <v>140</v>
      </c>
      <c r="CV108" t="s">
        <v>140</v>
      </c>
      <c r="CW108" t="s">
        <v>140</v>
      </c>
      <c r="CX108" t="s">
        <v>140</v>
      </c>
      <c r="CY108" t="s">
        <v>140</v>
      </c>
      <c r="CZ108" t="s">
        <v>140</v>
      </c>
      <c r="DA108" t="s">
        <v>140</v>
      </c>
      <c r="DB108" t="s">
        <v>140</v>
      </c>
      <c r="DC108" s="1">
        <v>10</v>
      </c>
      <c r="DD108" s="1">
        <v>18</v>
      </c>
      <c r="DE108" s="1">
        <v>25</v>
      </c>
      <c r="DF108" s="1">
        <v>21</v>
      </c>
      <c r="DG108" s="1">
        <v>0</v>
      </c>
      <c r="DH108" s="1">
        <v>200</v>
      </c>
      <c r="DI108" s="1">
        <v>188</v>
      </c>
      <c r="DJ108" s="1">
        <v>191</v>
      </c>
      <c r="DK108" s="1">
        <v>194</v>
      </c>
      <c r="DL108" s="1">
        <v>190</v>
      </c>
      <c r="DM108" s="1">
        <v>103</v>
      </c>
      <c r="DN108" s="1">
        <v>262</v>
      </c>
      <c r="DO108" s="1">
        <v>209</v>
      </c>
      <c r="DP108" s="1">
        <v>238</v>
      </c>
      <c r="DQ108" s="1">
        <v>243</v>
      </c>
      <c r="DR108" s="1">
        <v>284</v>
      </c>
      <c r="DS108" s="1">
        <v>340</v>
      </c>
      <c r="DT108" s="1">
        <v>418</v>
      </c>
      <c r="DU108" s="1">
        <v>454</v>
      </c>
      <c r="DV108" s="1">
        <v>502</v>
      </c>
      <c r="DW108" s="1">
        <v>626</v>
      </c>
      <c r="DX108" s="1">
        <v>707</v>
      </c>
      <c r="DY108" s="1">
        <v>789</v>
      </c>
      <c r="DZ108" s="1">
        <v>928</v>
      </c>
      <c r="EA108" s="1">
        <v>1138</v>
      </c>
      <c r="EB108" s="1">
        <v>1518</v>
      </c>
      <c r="EC108" s="1">
        <v>1280</v>
      </c>
      <c r="ED108" s="1">
        <v>3375</v>
      </c>
    </row>
    <row r="109" spans="1:134" x14ac:dyDescent="0.25">
      <c r="A109" t="s">
        <v>227</v>
      </c>
      <c r="B109" s="1">
        <v>1045</v>
      </c>
      <c r="C109" s="1">
        <v>1955</v>
      </c>
      <c r="D109" s="1">
        <v>3485</v>
      </c>
      <c r="E109" s="1">
        <v>3097</v>
      </c>
      <c r="F109" s="1">
        <v>3827</v>
      </c>
      <c r="G109" s="1">
        <v>4024</v>
      </c>
      <c r="H109" s="1">
        <v>1265</v>
      </c>
      <c r="I109" s="1">
        <v>12502</v>
      </c>
      <c r="J109" s="1">
        <v>7828</v>
      </c>
      <c r="K109" s="1">
        <v>9605</v>
      </c>
      <c r="L109" s="1">
        <v>6158</v>
      </c>
      <c r="M109" s="1">
        <v>6158</v>
      </c>
      <c r="N109" t="s">
        <v>141</v>
      </c>
      <c r="O109" t="s">
        <v>140</v>
      </c>
      <c r="P109" t="s">
        <v>140</v>
      </c>
      <c r="Q109" t="s">
        <v>140</v>
      </c>
      <c r="R109" t="s">
        <v>140</v>
      </c>
      <c r="S109" t="s">
        <v>140</v>
      </c>
      <c r="T109" t="s">
        <v>140</v>
      </c>
      <c r="U109" t="s">
        <v>140</v>
      </c>
      <c r="V109" t="s">
        <v>140</v>
      </c>
      <c r="W109" t="s">
        <v>140</v>
      </c>
      <c r="X109" t="s">
        <v>140</v>
      </c>
      <c r="Y109" t="s">
        <v>140</v>
      </c>
      <c r="Z109" t="s">
        <v>140</v>
      </c>
      <c r="AA109" t="s">
        <v>140</v>
      </c>
      <c r="AB109" t="s">
        <v>140</v>
      </c>
      <c r="AC109" t="s">
        <v>140</v>
      </c>
      <c r="AD109" t="s">
        <v>140</v>
      </c>
      <c r="AE109" t="s">
        <v>140</v>
      </c>
      <c r="AF109" t="s">
        <v>140</v>
      </c>
      <c r="AG109" t="s">
        <v>140</v>
      </c>
      <c r="AH109" t="s">
        <v>140</v>
      </c>
      <c r="AI109" t="s">
        <v>140</v>
      </c>
      <c r="AJ109" t="s">
        <v>140</v>
      </c>
      <c r="AK109" t="s">
        <v>140</v>
      </c>
      <c r="AL109" t="s">
        <v>140</v>
      </c>
      <c r="AM109" t="s">
        <v>140</v>
      </c>
      <c r="AN109" t="s">
        <v>140</v>
      </c>
      <c r="AO109" t="s">
        <v>140</v>
      </c>
      <c r="AP109" t="s">
        <v>140</v>
      </c>
      <c r="AQ109" t="s">
        <v>140</v>
      </c>
      <c r="AR109" t="s">
        <v>140</v>
      </c>
      <c r="AS109" t="s">
        <v>140</v>
      </c>
      <c r="AT109" t="s">
        <v>140</v>
      </c>
      <c r="AU109" t="s">
        <v>140</v>
      </c>
      <c r="AV109" t="s">
        <v>140</v>
      </c>
      <c r="AW109" t="s">
        <v>140</v>
      </c>
      <c r="AX109" t="s">
        <v>140</v>
      </c>
      <c r="AY109" t="s">
        <v>140</v>
      </c>
      <c r="AZ109" t="s">
        <v>140</v>
      </c>
      <c r="BA109" t="s">
        <v>140</v>
      </c>
      <c r="BB109" t="s">
        <v>140</v>
      </c>
      <c r="BC109" t="s">
        <v>140</v>
      </c>
      <c r="BD109" t="s">
        <v>140</v>
      </c>
      <c r="BE109" t="s">
        <v>140</v>
      </c>
      <c r="BF109" t="s">
        <v>140</v>
      </c>
      <c r="BG109" t="s">
        <v>140</v>
      </c>
      <c r="BH109" t="s">
        <v>140</v>
      </c>
      <c r="BI109" t="s">
        <v>140</v>
      </c>
      <c r="BJ109" t="s">
        <v>140</v>
      </c>
      <c r="BK109" t="s">
        <v>140</v>
      </c>
      <c r="BL109" t="s">
        <v>140</v>
      </c>
      <c r="BM109" t="s">
        <v>140</v>
      </c>
      <c r="BN109" t="s">
        <v>140</v>
      </c>
      <c r="BO109" t="s">
        <v>140</v>
      </c>
      <c r="BP109" t="s">
        <v>140</v>
      </c>
      <c r="BQ109" t="s">
        <v>140</v>
      </c>
      <c r="BR109" t="s">
        <v>140</v>
      </c>
      <c r="BS109" t="s">
        <v>140</v>
      </c>
      <c r="BT109" t="s">
        <v>140</v>
      </c>
      <c r="BU109" t="s">
        <v>140</v>
      </c>
      <c r="BV109" t="s">
        <v>140</v>
      </c>
      <c r="BW109" t="s">
        <v>140</v>
      </c>
      <c r="BX109" t="s">
        <v>140</v>
      </c>
      <c r="BY109" t="s">
        <v>140</v>
      </c>
      <c r="BZ109" t="s">
        <v>140</v>
      </c>
      <c r="CA109" t="s">
        <v>140</v>
      </c>
      <c r="CB109" t="s">
        <v>140</v>
      </c>
      <c r="CC109" t="s">
        <v>140</v>
      </c>
      <c r="CD109" t="s">
        <v>140</v>
      </c>
      <c r="CE109" t="s">
        <v>140</v>
      </c>
      <c r="CF109" t="s">
        <v>140</v>
      </c>
      <c r="CG109" t="s">
        <v>140</v>
      </c>
      <c r="CH109" t="s">
        <v>140</v>
      </c>
      <c r="CI109" t="s">
        <v>140</v>
      </c>
      <c r="CJ109" t="s">
        <v>140</v>
      </c>
      <c r="CK109" t="s">
        <v>140</v>
      </c>
      <c r="CL109" t="s">
        <v>140</v>
      </c>
      <c r="CM109" t="s">
        <v>140</v>
      </c>
      <c r="CN109" t="s">
        <v>140</v>
      </c>
      <c r="CO109" t="s">
        <v>140</v>
      </c>
      <c r="CP109" t="s">
        <v>140</v>
      </c>
      <c r="CQ109" t="s">
        <v>140</v>
      </c>
      <c r="CR109" t="s">
        <v>140</v>
      </c>
      <c r="CS109" t="s">
        <v>140</v>
      </c>
      <c r="CT109" t="s">
        <v>140</v>
      </c>
      <c r="CU109" t="s">
        <v>140</v>
      </c>
      <c r="CV109" t="s">
        <v>140</v>
      </c>
      <c r="CW109" t="s">
        <v>140</v>
      </c>
      <c r="CX109" t="s">
        <v>140</v>
      </c>
      <c r="CY109" t="s">
        <v>140</v>
      </c>
      <c r="CZ109" t="s">
        <v>140</v>
      </c>
      <c r="DA109" t="s">
        <v>140</v>
      </c>
      <c r="DB109" t="s">
        <v>140</v>
      </c>
      <c r="DC109" s="1">
        <v>899</v>
      </c>
      <c r="DD109" s="1">
        <v>1638</v>
      </c>
      <c r="DE109" s="1">
        <v>2007</v>
      </c>
      <c r="DF109" s="1">
        <v>1372</v>
      </c>
      <c r="DG109" s="1">
        <v>0</v>
      </c>
      <c r="DH109" s="1">
        <v>1076</v>
      </c>
      <c r="DI109" s="1">
        <v>1095</v>
      </c>
      <c r="DJ109" s="1">
        <v>1045</v>
      </c>
      <c r="DK109" s="1">
        <v>2330</v>
      </c>
      <c r="DL109" s="1">
        <v>1955</v>
      </c>
      <c r="DM109" s="1">
        <v>3013</v>
      </c>
      <c r="DN109" s="1">
        <v>3485</v>
      </c>
      <c r="DO109" s="1">
        <v>2823</v>
      </c>
      <c r="DP109" s="1">
        <v>3097</v>
      </c>
      <c r="DQ109" s="1">
        <v>5509</v>
      </c>
      <c r="DR109" s="1">
        <v>3827</v>
      </c>
      <c r="DS109" s="1">
        <v>2279</v>
      </c>
      <c r="DT109" s="1">
        <v>4024</v>
      </c>
      <c r="DU109" s="1">
        <v>1042</v>
      </c>
      <c r="DV109" s="1">
        <v>1265</v>
      </c>
      <c r="DW109" s="1">
        <v>1340</v>
      </c>
      <c r="DX109" s="1">
        <v>12502</v>
      </c>
      <c r="DY109" s="1">
        <v>4743</v>
      </c>
      <c r="DZ109" s="1">
        <v>7828</v>
      </c>
      <c r="EA109" s="1">
        <v>7503</v>
      </c>
      <c r="EB109" s="1">
        <v>9605</v>
      </c>
      <c r="EC109" s="1">
        <v>3287</v>
      </c>
      <c r="ED109" s="1">
        <v>6158</v>
      </c>
    </row>
    <row r="110" spans="1:134" x14ac:dyDescent="0.25">
      <c r="A110" t="s">
        <v>228</v>
      </c>
      <c r="B110" s="1">
        <v>0</v>
      </c>
      <c r="C110" s="1">
        <v>0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  <c r="M110" s="1">
        <v>0</v>
      </c>
      <c r="N110" t="s">
        <v>141</v>
      </c>
      <c r="O110" t="s">
        <v>140</v>
      </c>
      <c r="P110" t="s">
        <v>140</v>
      </c>
      <c r="Q110" t="s">
        <v>140</v>
      </c>
      <c r="R110" t="s">
        <v>140</v>
      </c>
      <c r="S110" t="s">
        <v>140</v>
      </c>
      <c r="T110" t="s">
        <v>140</v>
      </c>
      <c r="U110" t="s">
        <v>140</v>
      </c>
      <c r="V110" t="s">
        <v>140</v>
      </c>
      <c r="W110" t="s">
        <v>140</v>
      </c>
      <c r="X110" t="s">
        <v>140</v>
      </c>
      <c r="Y110" t="s">
        <v>140</v>
      </c>
      <c r="Z110" t="s">
        <v>140</v>
      </c>
      <c r="AA110" t="s">
        <v>140</v>
      </c>
      <c r="AB110" t="s">
        <v>140</v>
      </c>
      <c r="AC110" t="s">
        <v>140</v>
      </c>
      <c r="AD110" t="s">
        <v>140</v>
      </c>
      <c r="AE110" t="s">
        <v>140</v>
      </c>
      <c r="AF110" t="s">
        <v>140</v>
      </c>
      <c r="AG110" t="s">
        <v>140</v>
      </c>
      <c r="AH110" t="s">
        <v>140</v>
      </c>
      <c r="AI110" t="s">
        <v>140</v>
      </c>
      <c r="AJ110" t="s">
        <v>140</v>
      </c>
      <c r="AK110" t="s">
        <v>140</v>
      </c>
      <c r="AL110" t="s">
        <v>140</v>
      </c>
      <c r="AM110" t="s">
        <v>140</v>
      </c>
      <c r="AN110" t="s">
        <v>140</v>
      </c>
      <c r="AO110" t="s">
        <v>140</v>
      </c>
      <c r="AP110" t="s">
        <v>140</v>
      </c>
      <c r="AQ110" t="s">
        <v>140</v>
      </c>
      <c r="AR110" t="s">
        <v>140</v>
      </c>
      <c r="AS110" t="s">
        <v>140</v>
      </c>
      <c r="AT110" t="s">
        <v>140</v>
      </c>
      <c r="AU110" t="s">
        <v>140</v>
      </c>
      <c r="AV110" t="s">
        <v>140</v>
      </c>
      <c r="AW110" t="s">
        <v>140</v>
      </c>
      <c r="AX110" t="s">
        <v>140</v>
      </c>
      <c r="AY110" t="s">
        <v>140</v>
      </c>
      <c r="AZ110" t="s">
        <v>140</v>
      </c>
      <c r="BA110" t="s">
        <v>140</v>
      </c>
      <c r="BB110" t="s">
        <v>140</v>
      </c>
      <c r="BC110" t="s">
        <v>140</v>
      </c>
      <c r="BD110" t="s">
        <v>140</v>
      </c>
      <c r="BE110" t="s">
        <v>140</v>
      </c>
      <c r="BF110" t="s">
        <v>140</v>
      </c>
      <c r="BG110" t="s">
        <v>140</v>
      </c>
      <c r="BH110" t="s">
        <v>140</v>
      </c>
      <c r="BI110" t="s">
        <v>140</v>
      </c>
      <c r="BJ110" t="s">
        <v>140</v>
      </c>
      <c r="BK110" t="s">
        <v>140</v>
      </c>
      <c r="BL110" t="s">
        <v>140</v>
      </c>
      <c r="BM110" t="s">
        <v>140</v>
      </c>
      <c r="BN110" t="s">
        <v>140</v>
      </c>
      <c r="BO110" t="s">
        <v>140</v>
      </c>
      <c r="BP110" t="s">
        <v>140</v>
      </c>
      <c r="BQ110" t="s">
        <v>140</v>
      </c>
      <c r="BR110" t="s">
        <v>140</v>
      </c>
      <c r="BS110" t="s">
        <v>140</v>
      </c>
      <c r="BT110" t="s">
        <v>140</v>
      </c>
      <c r="BU110" t="s">
        <v>140</v>
      </c>
      <c r="BV110" t="s">
        <v>140</v>
      </c>
      <c r="BW110" t="s">
        <v>140</v>
      </c>
      <c r="BX110" t="s">
        <v>140</v>
      </c>
      <c r="BY110" t="s">
        <v>140</v>
      </c>
      <c r="BZ110" t="s">
        <v>140</v>
      </c>
      <c r="CA110" t="s">
        <v>140</v>
      </c>
      <c r="CB110" t="s">
        <v>140</v>
      </c>
      <c r="CC110" t="s">
        <v>140</v>
      </c>
      <c r="CD110" t="s">
        <v>140</v>
      </c>
      <c r="CE110" t="s">
        <v>140</v>
      </c>
      <c r="CF110" t="s">
        <v>140</v>
      </c>
      <c r="CG110" t="s">
        <v>140</v>
      </c>
      <c r="CH110" t="s">
        <v>140</v>
      </c>
      <c r="CI110" t="s">
        <v>140</v>
      </c>
      <c r="CJ110" t="s">
        <v>140</v>
      </c>
      <c r="CK110" t="s">
        <v>140</v>
      </c>
      <c r="CL110" t="s">
        <v>140</v>
      </c>
      <c r="CM110" t="s">
        <v>140</v>
      </c>
      <c r="CN110" t="s">
        <v>140</v>
      </c>
      <c r="CO110" t="s">
        <v>140</v>
      </c>
      <c r="CP110" t="s">
        <v>140</v>
      </c>
      <c r="CQ110" t="s">
        <v>140</v>
      </c>
      <c r="CR110" t="s">
        <v>140</v>
      </c>
      <c r="CS110" t="s">
        <v>140</v>
      </c>
      <c r="CT110" t="s">
        <v>140</v>
      </c>
      <c r="CU110" t="s">
        <v>140</v>
      </c>
      <c r="CV110" t="s">
        <v>140</v>
      </c>
      <c r="CW110" t="s">
        <v>140</v>
      </c>
      <c r="CX110" t="s">
        <v>140</v>
      </c>
      <c r="CY110" t="s">
        <v>140</v>
      </c>
      <c r="CZ110" t="s">
        <v>140</v>
      </c>
      <c r="DA110" t="s">
        <v>140</v>
      </c>
      <c r="DB110" t="s">
        <v>140</v>
      </c>
      <c r="DC110" s="1">
        <v>0</v>
      </c>
      <c r="DD110" s="1">
        <v>0</v>
      </c>
      <c r="DE110" s="1">
        <v>0</v>
      </c>
      <c r="DF110" s="1">
        <v>0</v>
      </c>
      <c r="DG110" s="1">
        <v>0</v>
      </c>
      <c r="DH110" s="1">
        <v>0</v>
      </c>
      <c r="DI110" s="1">
        <v>0</v>
      </c>
      <c r="DJ110" s="1">
        <v>0</v>
      </c>
      <c r="DK110" s="1">
        <v>0</v>
      </c>
      <c r="DL110" s="1">
        <v>0</v>
      </c>
      <c r="DM110" s="1">
        <v>0</v>
      </c>
      <c r="DN110" s="1">
        <v>0</v>
      </c>
      <c r="DO110" s="1">
        <v>0</v>
      </c>
      <c r="DP110" s="1">
        <v>0</v>
      </c>
      <c r="DQ110" s="1">
        <v>0</v>
      </c>
      <c r="DR110" s="1">
        <v>0</v>
      </c>
      <c r="DS110" s="1">
        <v>0</v>
      </c>
      <c r="DT110" s="1">
        <v>0</v>
      </c>
      <c r="DU110" s="1">
        <v>0</v>
      </c>
      <c r="DV110" s="1">
        <v>0</v>
      </c>
      <c r="DW110" s="1">
        <v>0</v>
      </c>
      <c r="DX110" s="1">
        <v>0</v>
      </c>
      <c r="DY110" s="1">
        <v>0</v>
      </c>
      <c r="DZ110" s="1">
        <v>0</v>
      </c>
      <c r="EA110" s="1">
        <v>0</v>
      </c>
      <c r="EB110" s="1">
        <v>0</v>
      </c>
      <c r="EC110" s="1">
        <v>0</v>
      </c>
      <c r="ED110" s="1">
        <v>0</v>
      </c>
    </row>
    <row r="111" spans="1:134" x14ac:dyDescent="0.25">
      <c r="A111" t="s">
        <v>229</v>
      </c>
      <c r="B111" s="1">
        <v>0</v>
      </c>
      <c r="C111" s="1">
        <v>0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80</v>
      </c>
      <c r="K111" s="1">
        <v>1316</v>
      </c>
      <c r="L111" s="1">
        <v>1321</v>
      </c>
      <c r="M111" s="1">
        <v>1321</v>
      </c>
      <c r="N111" t="s">
        <v>141</v>
      </c>
      <c r="O111" t="s">
        <v>140</v>
      </c>
      <c r="P111" t="s">
        <v>140</v>
      </c>
      <c r="Q111" t="s">
        <v>140</v>
      </c>
      <c r="R111" t="s">
        <v>140</v>
      </c>
      <c r="S111" t="s">
        <v>140</v>
      </c>
      <c r="T111" t="s">
        <v>140</v>
      </c>
      <c r="U111" t="s">
        <v>140</v>
      </c>
      <c r="V111" t="s">
        <v>140</v>
      </c>
      <c r="W111" t="s">
        <v>140</v>
      </c>
      <c r="X111" t="s">
        <v>140</v>
      </c>
      <c r="Y111" t="s">
        <v>140</v>
      </c>
      <c r="Z111" t="s">
        <v>140</v>
      </c>
      <c r="AA111" t="s">
        <v>140</v>
      </c>
      <c r="AB111" t="s">
        <v>140</v>
      </c>
      <c r="AC111" t="s">
        <v>140</v>
      </c>
      <c r="AD111" t="s">
        <v>140</v>
      </c>
      <c r="AE111" t="s">
        <v>140</v>
      </c>
      <c r="AF111" t="s">
        <v>140</v>
      </c>
      <c r="AG111" t="s">
        <v>140</v>
      </c>
      <c r="AH111" t="s">
        <v>140</v>
      </c>
      <c r="AI111" t="s">
        <v>140</v>
      </c>
      <c r="AJ111" t="s">
        <v>140</v>
      </c>
      <c r="AK111" t="s">
        <v>140</v>
      </c>
      <c r="AL111" t="s">
        <v>140</v>
      </c>
      <c r="AM111" t="s">
        <v>140</v>
      </c>
      <c r="AN111" t="s">
        <v>140</v>
      </c>
      <c r="AO111" t="s">
        <v>140</v>
      </c>
      <c r="AP111" t="s">
        <v>140</v>
      </c>
      <c r="AQ111" t="s">
        <v>140</v>
      </c>
      <c r="AR111" t="s">
        <v>140</v>
      </c>
      <c r="AS111" t="s">
        <v>140</v>
      </c>
      <c r="AT111" t="s">
        <v>140</v>
      </c>
      <c r="AU111" t="s">
        <v>140</v>
      </c>
      <c r="AV111" t="s">
        <v>140</v>
      </c>
      <c r="AW111" t="s">
        <v>140</v>
      </c>
      <c r="AX111" t="s">
        <v>140</v>
      </c>
      <c r="AY111" t="s">
        <v>140</v>
      </c>
      <c r="AZ111" t="s">
        <v>140</v>
      </c>
      <c r="BA111" t="s">
        <v>140</v>
      </c>
      <c r="BB111" t="s">
        <v>140</v>
      </c>
      <c r="BC111" t="s">
        <v>140</v>
      </c>
      <c r="BD111" t="s">
        <v>140</v>
      </c>
      <c r="BE111" t="s">
        <v>140</v>
      </c>
      <c r="BF111" t="s">
        <v>140</v>
      </c>
      <c r="BG111" t="s">
        <v>140</v>
      </c>
      <c r="BH111" t="s">
        <v>140</v>
      </c>
      <c r="BI111" t="s">
        <v>140</v>
      </c>
      <c r="BJ111" t="s">
        <v>140</v>
      </c>
      <c r="BK111" t="s">
        <v>140</v>
      </c>
      <c r="BL111" t="s">
        <v>140</v>
      </c>
      <c r="BM111" t="s">
        <v>140</v>
      </c>
      <c r="BN111" t="s">
        <v>140</v>
      </c>
      <c r="BO111" t="s">
        <v>140</v>
      </c>
      <c r="BP111" t="s">
        <v>140</v>
      </c>
      <c r="BQ111" t="s">
        <v>140</v>
      </c>
      <c r="BR111" t="s">
        <v>140</v>
      </c>
      <c r="BS111" t="s">
        <v>140</v>
      </c>
      <c r="BT111" t="s">
        <v>140</v>
      </c>
      <c r="BU111" t="s">
        <v>140</v>
      </c>
      <c r="BV111" t="s">
        <v>140</v>
      </c>
      <c r="BW111" t="s">
        <v>140</v>
      </c>
      <c r="BX111" t="s">
        <v>140</v>
      </c>
      <c r="BY111" t="s">
        <v>140</v>
      </c>
      <c r="BZ111" t="s">
        <v>140</v>
      </c>
      <c r="CA111" t="s">
        <v>140</v>
      </c>
      <c r="CB111" t="s">
        <v>140</v>
      </c>
      <c r="CC111" t="s">
        <v>140</v>
      </c>
      <c r="CD111" t="s">
        <v>140</v>
      </c>
      <c r="CE111" t="s">
        <v>140</v>
      </c>
      <c r="CF111" t="s">
        <v>140</v>
      </c>
      <c r="CG111" t="s">
        <v>140</v>
      </c>
      <c r="CH111" t="s">
        <v>140</v>
      </c>
      <c r="CI111" t="s">
        <v>140</v>
      </c>
      <c r="CJ111" t="s">
        <v>140</v>
      </c>
      <c r="CK111" t="s">
        <v>140</v>
      </c>
      <c r="CL111" t="s">
        <v>140</v>
      </c>
      <c r="CM111" t="s">
        <v>140</v>
      </c>
      <c r="CN111" t="s">
        <v>140</v>
      </c>
      <c r="CO111" t="s">
        <v>140</v>
      </c>
      <c r="CP111" t="s">
        <v>140</v>
      </c>
      <c r="CQ111" t="s">
        <v>140</v>
      </c>
      <c r="CR111" t="s">
        <v>140</v>
      </c>
      <c r="CS111" t="s">
        <v>140</v>
      </c>
      <c r="CT111" t="s">
        <v>140</v>
      </c>
      <c r="CU111" t="s">
        <v>140</v>
      </c>
      <c r="CV111" t="s">
        <v>140</v>
      </c>
      <c r="CW111" t="s">
        <v>140</v>
      </c>
      <c r="CX111" t="s">
        <v>140</v>
      </c>
      <c r="CY111" t="s">
        <v>140</v>
      </c>
      <c r="CZ111" t="s">
        <v>140</v>
      </c>
      <c r="DA111" t="s">
        <v>140</v>
      </c>
      <c r="DB111" t="s">
        <v>140</v>
      </c>
      <c r="DC111" s="1">
        <v>0</v>
      </c>
      <c r="DD111" s="1">
        <v>0</v>
      </c>
      <c r="DE111" s="1">
        <v>0</v>
      </c>
      <c r="DF111" s="1">
        <v>38</v>
      </c>
      <c r="DG111" s="1">
        <v>0</v>
      </c>
      <c r="DH111" s="1">
        <v>53</v>
      </c>
      <c r="DI111" s="1">
        <v>0</v>
      </c>
      <c r="DJ111" s="1">
        <v>0</v>
      </c>
      <c r="DK111" s="1">
        <v>0</v>
      </c>
      <c r="DL111" s="1">
        <v>0</v>
      </c>
      <c r="DM111" s="1">
        <v>0</v>
      </c>
      <c r="DN111" s="1">
        <v>0</v>
      </c>
      <c r="DO111" s="1">
        <v>0</v>
      </c>
      <c r="DP111" s="1">
        <v>0</v>
      </c>
      <c r="DQ111" s="1">
        <v>0</v>
      </c>
      <c r="DR111" s="1">
        <v>0</v>
      </c>
      <c r="DS111" s="1">
        <v>0</v>
      </c>
      <c r="DT111" s="1">
        <v>0</v>
      </c>
      <c r="DU111" s="1">
        <v>0</v>
      </c>
      <c r="DV111" s="1">
        <v>0</v>
      </c>
      <c r="DW111" s="1">
        <v>0</v>
      </c>
      <c r="DX111" s="1">
        <v>0</v>
      </c>
      <c r="DY111" s="1">
        <v>0</v>
      </c>
      <c r="DZ111" s="1">
        <v>80</v>
      </c>
      <c r="EA111" s="1">
        <v>0</v>
      </c>
      <c r="EB111" s="1">
        <v>1316</v>
      </c>
      <c r="EC111" s="1">
        <v>0</v>
      </c>
      <c r="ED111" s="1">
        <v>1321</v>
      </c>
    </row>
    <row r="112" spans="1:134" x14ac:dyDescent="0.25">
      <c r="A112" t="s">
        <v>230</v>
      </c>
      <c r="B112" s="1">
        <v>62</v>
      </c>
      <c r="C112" s="1">
        <v>67</v>
      </c>
      <c r="D112" s="1">
        <v>70</v>
      </c>
      <c r="E112" s="1">
        <v>70</v>
      </c>
      <c r="F112" s="1">
        <v>76</v>
      </c>
      <c r="G112" s="1">
        <v>78</v>
      </c>
      <c r="H112" s="1">
        <v>86</v>
      </c>
      <c r="I112" s="1">
        <v>75</v>
      </c>
      <c r="J112" s="1">
        <v>0</v>
      </c>
      <c r="K112" s="1">
        <v>0</v>
      </c>
      <c r="L112" s="1">
        <v>0</v>
      </c>
      <c r="M112" s="1">
        <v>0</v>
      </c>
      <c r="N112" t="s">
        <v>141</v>
      </c>
      <c r="O112" t="s">
        <v>140</v>
      </c>
      <c r="P112" t="s">
        <v>140</v>
      </c>
      <c r="Q112" t="s">
        <v>140</v>
      </c>
      <c r="R112" t="s">
        <v>140</v>
      </c>
      <c r="S112" t="s">
        <v>140</v>
      </c>
      <c r="T112" t="s">
        <v>140</v>
      </c>
      <c r="U112" t="s">
        <v>140</v>
      </c>
      <c r="V112" t="s">
        <v>140</v>
      </c>
      <c r="W112" t="s">
        <v>140</v>
      </c>
      <c r="X112" t="s">
        <v>140</v>
      </c>
      <c r="Y112" t="s">
        <v>140</v>
      </c>
      <c r="Z112" t="s">
        <v>140</v>
      </c>
      <c r="AA112" t="s">
        <v>140</v>
      </c>
      <c r="AB112" t="s">
        <v>140</v>
      </c>
      <c r="AC112" t="s">
        <v>140</v>
      </c>
      <c r="AD112" t="s">
        <v>140</v>
      </c>
      <c r="AE112" t="s">
        <v>140</v>
      </c>
      <c r="AF112" t="s">
        <v>140</v>
      </c>
      <c r="AG112" t="s">
        <v>140</v>
      </c>
      <c r="AH112" t="s">
        <v>140</v>
      </c>
      <c r="AI112" t="s">
        <v>140</v>
      </c>
      <c r="AJ112" t="s">
        <v>140</v>
      </c>
      <c r="AK112" t="s">
        <v>140</v>
      </c>
      <c r="AL112" t="s">
        <v>140</v>
      </c>
      <c r="AM112" t="s">
        <v>140</v>
      </c>
      <c r="AN112" t="s">
        <v>140</v>
      </c>
      <c r="AO112" t="s">
        <v>140</v>
      </c>
      <c r="AP112" t="s">
        <v>140</v>
      </c>
      <c r="AQ112" t="s">
        <v>140</v>
      </c>
      <c r="AR112" t="s">
        <v>140</v>
      </c>
      <c r="AS112" t="s">
        <v>140</v>
      </c>
      <c r="AT112" t="s">
        <v>140</v>
      </c>
      <c r="AU112" t="s">
        <v>140</v>
      </c>
      <c r="AV112" t="s">
        <v>140</v>
      </c>
      <c r="AW112" t="s">
        <v>140</v>
      </c>
      <c r="AX112" t="s">
        <v>140</v>
      </c>
      <c r="AY112" t="s">
        <v>140</v>
      </c>
      <c r="AZ112" t="s">
        <v>140</v>
      </c>
      <c r="BA112" t="s">
        <v>140</v>
      </c>
      <c r="BB112" t="s">
        <v>140</v>
      </c>
      <c r="BC112" t="s">
        <v>140</v>
      </c>
      <c r="BD112" t="s">
        <v>140</v>
      </c>
      <c r="BE112" t="s">
        <v>140</v>
      </c>
      <c r="BF112" t="s">
        <v>140</v>
      </c>
      <c r="BG112" t="s">
        <v>140</v>
      </c>
      <c r="BH112" t="s">
        <v>140</v>
      </c>
      <c r="BI112" t="s">
        <v>140</v>
      </c>
      <c r="BJ112" t="s">
        <v>140</v>
      </c>
      <c r="BK112" t="s">
        <v>140</v>
      </c>
      <c r="BL112" t="s">
        <v>140</v>
      </c>
      <c r="BM112" t="s">
        <v>140</v>
      </c>
      <c r="BN112" t="s">
        <v>140</v>
      </c>
      <c r="BO112" t="s">
        <v>140</v>
      </c>
      <c r="BP112" t="s">
        <v>140</v>
      </c>
      <c r="BQ112" t="s">
        <v>140</v>
      </c>
      <c r="BR112" t="s">
        <v>140</v>
      </c>
      <c r="BS112" t="s">
        <v>140</v>
      </c>
      <c r="BT112" t="s">
        <v>140</v>
      </c>
      <c r="BU112" t="s">
        <v>140</v>
      </c>
      <c r="BV112" t="s">
        <v>140</v>
      </c>
      <c r="BW112" t="s">
        <v>140</v>
      </c>
      <c r="BX112" t="s">
        <v>140</v>
      </c>
      <c r="BY112" t="s">
        <v>140</v>
      </c>
      <c r="BZ112" t="s">
        <v>140</v>
      </c>
      <c r="CA112" t="s">
        <v>140</v>
      </c>
      <c r="CB112" t="s">
        <v>140</v>
      </c>
      <c r="CC112" t="s">
        <v>140</v>
      </c>
      <c r="CD112" t="s">
        <v>140</v>
      </c>
      <c r="CE112" t="s">
        <v>140</v>
      </c>
      <c r="CF112" t="s">
        <v>140</v>
      </c>
      <c r="CG112" t="s">
        <v>140</v>
      </c>
      <c r="CH112" t="s">
        <v>140</v>
      </c>
      <c r="CI112" t="s">
        <v>140</v>
      </c>
      <c r="CJ112" t="s">
        <v>140</v>
      </c>
      <c r="CK112" t="s">
        <v>140</v>
      </c>
      <c r="CL112" t="s">
        <v>140</v>
      </c>
      <c r="CM112" t="s">
        <v>140</v>
      </c>
      <c r="CN112" t="s">
        <v>140</v>
      </c>
      <c r="CO112" t="s">
        <v>140</v>
      </c>
      <c r="CP112" t="s">
        <v>140</v>
      </c>
      <c r="CQ112" t="s">
        <v>140</v>
      </c>
      <c r="CR112" t="s">
        <v>140</v>
      </c>
      <c r="CS112" t="s">
        <v>140</v>
      </c>
      <c r="CT112" t="s">
        <v>140</v>
      </c>
      <c r="CU112" t="s">
        <v>140</v>
      </c>
      <c r="CV112" t="s">
        <v>140</v>
      </c>
      <c r="CW112" t="s">
        <v>140</v>
      </c>
      <c r="CX112" t="s">
        <v>140</v>
      </c>
      <c r="CY112" t="s">
        <v>140</v>
      </c>
      <c r="CZ112" t="s">
        <v>140</v>
      </c>
      <c r="DA112" t="s">
        <v>140</v>
      </c>
      <c r="DB112" t="s">
        <v>140</v>
      </c>
      <c r="DC112" s="1">
        <v>0</v>
      </c>
      <c r="DD112" s="1">
        <v>0</v>
      </c>
      <c r="DE112" s="1">
        <v>0</v>
      </c>
      <c r="DF112" s="1">
        <v>0</v>
      </c>
      <c r="DG112" s="1">
        <v>0</v>
      </c>
      <c r="DH112" s="1">
        <v>0</v>
      </c>
      <c r="DI112" s="1">
        <v>0</v>
      </c>
      <c r="DJ112" s="1">
        <v>62</v>
      </c>
      <c r="DK112" s="1">
        <v>0</v>
      </c>
      <c r="DL112" s="1">
        <v>67</v>
      </c>
      <c r="DM112" s="1">
        <v>0</v>
      </c>
      <c r="DN112" s="1">
        <v>70</v>
      </c>
      <c r="DO112" s="1">
        <v>70</v>
      </c>
      <c r="DP112" s="1">
        <v>70</v>
      </c>
      <c r="DQ112" s="1">
        <v>75</v>
      </c>
      <c r="DR112" s="1">
        <v>76</v>
      </c>
      <c r="DS112" s="1">
        <v>77</v>
      </c>
      <c r="DT112" s="1">
        <v>78</v>
      </c>
      <c r="DU112" s="1">
        <v>79</v>
      </c>
      <c r="DV112" s="1">
        <v>86</v>
      </c>
      <c r="DW112" s="1">
        <v>80</v>
      </c>
      <c r="DX112" s="1">
        <v>75</v>
      </c>
      <c r="DY112" s="1">
        <v>76</v>
      </c>
      <c r="DZ112" s="1">
        <v>0</v>
      </c>
      <c r="EA112" s="1">
        <v>1318</v>
      </c>
      <c r="EB112" s="1">
        <v>0</v>
      </c>
      <c r="EC112" s="1">
        <v>0</v>
      </c>
      <c r="ED112" s="1">
        <v>0</v>
      </c>
    </row>
    <row r="113" spans="1:134" x14ac:dyDescent="0.25">
      <c r="A113" t="s">
        <v>231</v>
      </c>
      <c r="B113" s="1">
        <v>88</v>
      </c>
      <c r="C113" s="1">
        <v>5</v>
      </c>
      <c r="D113" s="1">
        <v>5</v>
      </c>
      <c r="E113" s="1">
        <v>4</v>
      </c>
      <c r="F113" s="1">
        <v>6</v>
      </c>
      <c r="G113" s="1">
        <v>5</v>
      </c>
      <c r="H113" s="1">
        <v>5</v>
      </c>
      <c r="I113" s="1">
        <v>5</v>
      </c>
      <c r="J113" s="1">
        <v>6</v>
      </c>
      <c r="K113" s="1">
        <v>7</v>
      </c>
      <c r="L113" s="1">
        <v>7</v>
      </c>
      <c r="M113" s="1">
        <v>7</v>
      </c>
      <c r="N113" t="s">
        <v>141</v>
      </c>
      <c r="O113" t="s">
        <v>140</v>
      </c>
      <c r="P113" t="s">
        <v>140</v>
      </c>
      <c r="Q113" t="s">
        <v>140</v>
      </c>
      <c r="R113" t="s">
        <v>140</v>
      </c>
      <c r="S113" t="s">
        <v>140</v>
      </c>
      <c r="T113" t="s">
        <v>140</v>
      </c>
      <c r="U113" t="s">
        <v>140</v>
      </c>
      <c r="V113" t="s">
        <v>140</v>
      </c>
      <c r="W113" t="s">
        <v>140</v>
      </c>
      <c r="X113" t="s">
        <v>140</v>
      </c>
      <c r="Y113" t="s">
        <v>140</v>
      </c>
      <c r="Z113" t="s">
        <v>140</v>
      </c>
      <c r="AA113" t="s">
        <v>140</v>
      </c>
      <c r="AB113" t="s">
        <v>140</v>
      </c>
      <c r="AC113" t="s">
        <v>140</v>
      </c>
      <c r="AD113" t="s">
        <v>140</v>
      </c>
      <c r="AE113" t="s">
        <v>140</v>
      </c>
      <c r="AF113" t="s">
        <v>140</v>
      </c>
      <c r="AG113" t="s">
        <v>140</v>
      </c>
      <c r="AH113" t="s">
        <v>140</v>
      </c>
      <c r="AI113" t="s">
        <v>140</v>
      </c>
      <c r="AJ113" t="s">
        <v>140</v>
      </c>
      <c r="AK113" t="s">
        <v>140</v>
      </c>
      <c r="AL113" t="s">
        <v>140</v>
      </c>
      <c r="AM113" t="s">
        <v>140</v>
      </c>
      <c r="AN113" t="s">
        <v>140</v>
      </c>
      <c r="AO113" t="s">
        <v>140</v>
      </c>
      <c r="AP113" t="s">
        <v>140</v>
      </c>
      <c r="AQ113" t="s">
        <v>140</v>
      </c>
      <c r="AR113" t="s">
        <v>140</v>
      </c>
      <c r="AS113" t="s">
        <v>140</v>
      </c>
      <c r="AT113" t="s">
        <v>140</v>
      </c>
      <c r="AU113" t="s">
        <v>140</v>
      </c>
      <c r="AV113" t="s">
        <v>140</v>
      </c>
      <c r="AW113" t="s">
        <v>140</v>
      </c>
      <c r="AX113" t="s">
        <v>140</v>
      </c>
      <c r="AY113" t="s">
        <v>140</v>
      </c>
      <c r="AZ113" t="s">
        <v>140</v>
      </c>
      <c r="BA113" t="s">
        <v>140</v>
      </c>
      <c r="BB113" t="s">
        <v>140</v>
      </c>
      <c r="BC113" t="s">
        <v>140</v>
      </c>
      <c r="BD113" t="s">
        <v>140</v>
      </c>
      <c r="BE113" t="s">
        <v>140</v>
      </c>
      <c r="BF113" t="s">
        <v>140</v>
      </c>
      <c r="BG113" t="s">
        <v>140</v>
      </c>
      <c r="BH113" t="s">
        <v>140</v>
      </c>
      <c r="BI113" t="s">
        <v>140</v>
      </c>
      <c r="BJ113" t="s">
        <v>140</v>
      </c>
      <c r="BK113" t="s">
        <v>140</v>
      </c>
      <c r="BL113" t="s">
        <v>140</v>
      </c>
      <c r="BM113" t="s">
        <v>140</v>
      </c>
      <c r="BN113" t="s">
        <v>140</v>
      </c>
      <c r="BO113" t="s">
        <v>140</v>
      </c>
      <c r="BP113" t="s">
        <v>140</v>
      </c>
      <c r="BQ113" t="s">
        <v>140</v>
      </c>
      <c r="BR113" t="s">
        <v>140</v>
      </c>
      <c r="BS113" t="s">
        <v>140</v>
      </c>
      <c r="BT113" t="s">
        <v>140</v>
      </c>
      <c r="BU113" t="s">
        <v>140</v>
      </c>
      <c r="BV113" t="s">
        <v>140</v>
      </c>
      <c r="BW113" t="s">
        <v>140</v>
      </c>
      <c r="BX113" t="s">
        <v>140</v>
      </c>
      <c r="BY113" t="s">
        <v>140</v>
      </c>
      <c r="BZ113" t="s">
        <v>140</v>
      </c>
      <c r="CA113" t="s">
        <v>140</v>
      </c>
      <c r="CB113" t="s">
        <v>140</v>
      </c>
      <c r="CC113" t="s">
        <v>140</v>
      </c>
      <c r="CD113" t="s">
        <v>140</v>
      </c>
      <c r="CE113" t="s">
        <v>140</v>
      </c>
      <c r="CF113" t="s">
        <v>140</v>
      </c>
      <c r="CG113" t="s">
        <v>140</v>
      </c>
      <c r="CH113" t="s">
        <v>140</v>
      </c>
      <c r="CI113" t="s">
        <v>140</v>
      </c>
      <c r="CJ113" t="s">
        <v>140</v>
      </c>
      <c r="CK113" t="s">
        <v>140</v>
      </c>
      <c r="CL113" t="s">
        <v>140</v>
      </c>
      <c r="CM113" t="s">
        <v>140</v>
      </c>
      <c r="CN113" t="s">
        <v>140</v>
      </c>
      <c r="CO113" t="s">
        <v>140</v>
      </c>
      <c r="CP113" t="s">
        <v>140</v>
      </c>
      <c r="CQ113" t="s">
        <v>140</v>
      </c>
      <c r="CR113" t="s">
        <v>140</v>
      </c>
      <c r="CS113" t="s">
        <v>140</v>
      </c>
      <c r="CT113" t="s">
        <v>140</v>
      </c>
      <c r="CU113" t="s">
        <v>140</v>
      </c>
      <c r="CV113" t="s">
        <v>140</v>
      </c>
      <c r="CW113" t="s">
        <v>140</v>
      </c>
      <c r="CX113" t="s">
        <v>140</v>
      </c>
      <c r="CY113" t="s">
        <v>140</v>
      </c>
      <c r="CZ113" t="s">
        <v>140</v>
      </c>
      <c r="DA113" t="s">
        <v>140</v>
      </c>
      <c r="DB113" t="s">
        <v>140</v>
      </c>
      <c r="DC113" s="1">
        <v>0</v>
      </c>
      <c r="DD113" s="1">
        <v>0</v>
      </c>
      <c r="DE113" s="1">
        <v>0</v>
      </c>
      <c r="DF113" s="1">
        <v>64</v>
      </c>
      <c r="DG113" s="1">
        <v>0</v>
      </c>
      <c r="DH113" s="1">
        <v>85</v>
      </c>
      <c r="DI113" s="1">
        <v>0</v>
      </c>
      <c r="DJ113" s="1">
        <v>88</v>
      </c>
      <c r="DK113" s="1">
        <v>0</v>
      </c>
      <c r="DL113" s="1">
        <v>5</v>
      </c>
      <c r="DM113" s="1">
        <v>0</v>
      </c>
      <c r="DN113" s="1">
        <v>5</v>
      </c>
      <c r="DO113" s="1">
        <v>5</v>
      </c>
      <c r="DP113" s="1">
        <v>4</v>
      </c>
      <c r="DQ113" s="1">
        <v>6</v>
      </c>
      <c r="DR113" s="1">
        <v>6</v>
      </c>
      <c r="DS113" s="1">
        <v>6</v>
      </c>
      <c r="DT113" s="1">
        <v>5</v>
      </c>
      <c r="DU113" s="1">
        <v>5</v>
      </c>
      <c r="DV113" s="1">
        <v>5</v>
      </c>
      <c r="DW113" s="1">
        <v>5</v>
      </c>
      <c r="DX113" s="1">
        <v>5</v>
      </c>
      <c r="DY113" s="1">
        <v>6</v>
      </c>
      <c r="DZ113" s="1">
        <v>6</v>
      </c>
      <c r="EA113" s="1">
        <v>6</v>
      </c>
      <c r="EB113" s="1">
        <v>7</v>
      </c>
      <c r="EC113" s="1">
        <v>7</v>
      </c>
      <c r="ED113" s="1">
        <v>7</v>
      </c>
    </row>
    <row r="114" spans="1:134" x14ac:dyDescent="0.25">
      <c r="A114" t="s">
        <v>232</v>
      </c>
      <c r="B114" s="1">
        <v>0</v>
      </c>
      <c r="C114" s="1">
        <v>0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  <c r="M114" s="1">
        <v>0</v>
      </c>
      <c r="N114" t="s">
        <v>141</v>
      </c>
      <c r="O114" t="s">
        <v>140</v>
      </c>
      <c r="P114" t="s">
        <v>140</v>
      </c>
      <c r="Q114" t="s">
        <v>140</v>
      </c>
      <c r="R114" t="s">
        <v>140</v>
      </c>
      <c r="S114" t="s">
        <v>140</v>
      </c>
      <c r="T114" t="s">
        <v>140</v>
      </c>
      <c r="U114" t="s">
        <v>140</v>
      </c>
      <c r="V114" t="s">
        <v>140</v>
      </c>
      <c r="W114" t="s">
        <v>140</v>
      </c>
      <c r="X114" t="s">
        <v>140</v>
      </c>
      <c r="Y114" t="s">
        <v>140</v>
      </c>
      <c r="Z114" t="s">
        <v>140</v>
      </c>
      <c r="AA114" t="s">
        <v>140</v>
      </c>
      <c r="AB114" t="s">
        <v>140</v>
      </c>
      <c r="AC114" t="s">
        <v>140</v>
      </c>
      <c r="AD114" t="s">
        <v>140</v>
      </c>
      <c r="AE114" t="s">
        <v>140</v>
      </c>
      <c r="AF114" t="s">
        <v>140</v>
      </c>
      <c r="AG114" t="s">
        <v>140</v>
      </c>
      <c r="AH114" t="s">
        <v>140</v>
      </c>
      <c r="AI114" t="s">
        <v>140</v>
      </c>
      <c r="AJ114" t="s">
        <v>140</v>
      </c>
      <c r="AK114" t="s">
        <v>140</v>
      </c>
      <c r="AL114" t="s">
        <v>140</v>
      </c>
      <c r="AM114" t="s">
        <v>140</v>
      </c>
      <c r="AN114" t="s">
        <v>140</v>
      </c>
      <c r="AO114" t="s">
        <v>140</v>
      </c>
      <c r="AP114" t="s">
        <v>140</v>
      </c>
      <c r="AQ114" t="s">
        <v>140</v>
      </c>
      <c r="AR114" t="s">
        <v>140</v>
      </c>
      <c r="AS114" t="s">
        <v>140</v>
      </c>
      <c r="AT114" t="s">
        <v>140</v>
      </c>
      <c r="AU114" t="s">
        <v>140</v>
      </c>
      <c r="AV114" t="s">
        <v>140</v>
      </c>
      <c r="AW114" t="s">
        <v>140</v>
      </c>
      <c r="AX114" t="s">
        <v>140</v>
      </c>
      <c r="AY114" t="s">
        <v>140</v>
      </c>
      <c r="AZ114" t="s">
        <v>140</v>
      </c>
      <c r="BA114" t="s">
        <v>140</v>
      </c>
      <c r="BB114" t="s">
        <v>140</v>
      </c>
      <c r="BC114" t="s">
        <v>140</v>
      </c>
      <c r="BD114" t="s">
        <v>140</v>
      </c>
      <c r="BE114" t="s">
        <v>140</v>
      </c>
      <c r="BF114" t="s">
        <v>140</v>
      </c>
      <c r="BG114" t="s">
        <v>140</v>
      </c>
      <c r="BH114" t="s">
        <v>140</v>
      </c>
      <c r="BI114" t="s">
        <v>140</v>
      </c>
      <c r="BJ114" t="s">
        <v>140</v>
      </c>
      <c r="BK114" t="s">
        <v>140</v>
      </c>
      <c r="BL114" t="s">
        <v>140</v>
      </c>
      <c r="BM114" t="s">
        <v>140</v>
      </c>
      <c r="BN114" t="s">
        <v>140</v>
      </c>
      <c r="BO114" t="s">
        <v>140</v>
      </c>
      <c r="BP114" t="s">
        <v>140</v>
      </c>
      <c r="BQ114" t="s">
        <v>140</v>
      </c>
      <c r="BR114" t="s">
        <v>140</v>
      </c>
      <c r="BS114" t="s">
        <v>140</v>
      </c>
      <c r="BT114" t="s">
        <v>140</v>
      </c>
      <c r="BU114" t="s">
        <v>140</v>
      </c>
      <c r="BV114" t="s">
        <v>140</v>
      </c>
      <c r="BW114" t="s">
        <v>140</v>
      </c>
      <c r="BX114" t="s">
        <v>140</v>
      </c>
      <c r="BY114" t="s">
        <v>140</v>
      </c>
      <c r="BZ114" t="s">
        <v>140</v>
      </c>
      <c r="CA114" t="s">
        <v>140</v>
      </c>
      <c r="CB114" t="s">
        <v>140</v>
      </c>
      <c r="CC114" t="s">
        <v>140</v>
      </c>
      <c r="CD114" t="s">
        <v>140</v>
      </c>
      <c r="CE114" t="s">
        <v>140</v>
      </c>
      <c r="CF114" t="s">
        <v>140</v>
      </c>
      <c r="CG114" t="s">
        <v>140</v>
      </c>
      <c r="CH114" t="s">
        <v>140</v>
      </c>
      <c r="CI114" t="s">
        <v>140</v>
      </c>
      <c r="CJ114" t="s">
        <v>140</v>
      </c>
      <c r="CK114" t="s">
        <v>140</v>
      </c>
      <c r="CL114" t="s">
        <v>140</v>
      </c>
      <c r="CM114" t="s">
        <v>140</v>
      </c>
      <c r="CN114" t="s">
        <v>140</v>
      </c>
      <c r="CO114" t="s">
        <v>140</v>
      </c>
      <c r="CP114" t="s">
        <v>140</v>
      </c>
      <c r="CQ114" t="s">
        <v>140</v>
      </c>
      <c r="CR114" t="s">
        <v>140</v>
      </c>
      <c r="CS114" t="s">
        <v>140</v>
      </c>
      <c r="CT114" t="s">
        <v>140</v>
      </c>
      <c r="CU114" t="s">
        <v>140</v>
      </c>
      <c r="CV114" t="s">
        <v>140</v>
      </c>
      <c r="CW114" t="s">
        <v>140</v>
      </c>
      <c r="CX114" t="s">
        <v>140</v>
      </c>
      <c r="CY114" t="s">
        <v>140</v>
      </c>
      <c r="CZ114" t="s">
        <v>140</v>
      </c>
      <c r="DA114" t="s">
        <v>140</v>
      </c>
      <c r="DB114" t="s">
        <v>140</v>
      </c>
      <c r="DC114" s="1">
        <v>0</v>
      </c>
      <c r="DD114" s="1">
        <v>0</v>
      </c>
      <c r="DE114" s="1">
        <v>0</v>
      </c>
      <c r="DF114" s="1">
        <v>0</v>
      </c>
      <c r="DG114" s="1">
        <v>0</v>
      </c>
      <c r="DH114" s="1">
        <v>0</v>
      </c>
      <c r="DI114" s="1">
        <v>0</v>
      </c>
      <c r="DJ114" s="1">
        <v>0</v>
      </c>
      <c r="DK114" s="1">
        <v>0</v>
      </c>
      <c r="DL114" s="1">
        <v>0</v>
      </c>
      <c r="DM114" s="1">
        <v>0</v>
      </c>
      <c r="DN114" s="1">
        <v>0</v>
      </c>
      <c r="DO114" s="1">
        <v>0</v>
      </c>
      <c r="DP114" s="1">
        <v>0</v>
      </c>
      <c r="DQ114" s="1">
        <v>0</v>
      </c>
      <c r="DR114" s="1">
        <v>0</v>
      </c>
      <c r="DS114" s="1">
        <v>0</v>
      </c>
      <c r="DT114" s="1">
        <v>0</v>
      </c>
      <c r="DU114" s="1">
        <v>0</v>
      </c>
      <c r="DV114" s="1">
        <v>0</v>
      </c>
      <c r="DW114" s="1">
        <v>0</v>
      </c>
      <c r="DX114" s="1">
        <v>0</v>
      </c>
      <c r="DY114" s="1">
        <v>0</v>
      </c>
      <c r="DZ114" s="1">
        <v>0</v>
      </c>
      <c r="EA114" s="1">
        <v>0</v>
      </c>
      <c r="EB114" s="1">
        <v>0</v>
      </c>
      <c r="EC114" s="1">
        <v>0</v>
      </c>
      <c r="ED114" s="1">
        <v>0</v>
      </c>
    </row>
    <row r="115" spans="1:134" x14ac:dyDescent="0.25">
      <c r="A115" t="s">
        <v>233</v>
      </c>
      <c r="B115" s="1">
        <v>0</v>
      </c>
      <c r="C115" s="1">
        <v>101</v>
      </c>
      <c r="D115" s="1">
        <v>114</v>
      </c>
      <c r="E115" s="1">
        <v>131</v>
      </c>
      <c r="F115" s="1">
        <v>146</v>
      </c>
      <c r="G115" s="1">
        <v>169</v>
      </c>
      <c r="H115" s="1">
        <v>199</v>
      </c>
      <c r="I115" s="1">
        <v>217</v>
      </c>
      <c r="J115" s="1">
        <v>255</v>
      </c>
      <c r="K115" s="1">
        <v>222</v>
      </c>
      <c r="L115" s="1">
        <v>201</v>
      </c>
      <c r="M115" s="1">
        <v>201</v>
      </c>
      <c r="N115" t="s">
        <v>141</v>
      </c>
      <c r="O115" t="s">
        <v>140</v>
      </c>
      <c r="P115" t="s">
        <v>140</v>
      </c>
      <c r="Q115" t="s">
        <v>140</v>
      </c>
      <c r="R115" t="s">
        <v>140</v>
      </c>
      <c r="S115" t="s">
        <v>140</v>
      </c>
      <c r="T115" t="s">
        <v>140</v>
      </c>
      <c r="U115" t="s">
        <v>140</v>
      </c>
      <c r="V115" t="s">
        <v>140</v>
      </c>
      <c r="W115" t="s">
        <v>140</v>
      </c>
      <c r="X115" t="s">
        <v>140</v>
      </c>
      <c r="Y115" t="s">
        <v>140</v>
      </c>
      <c r="Z115" t="s">
        <v>140</v>
      </c>
      <c r="AA115" t="s">
        <v>140</v>
      </c>
      <c r="AB115" t="s">
        <v>140</v>
      </c>
      <c r="AC115" t="s">
        <v>140</v>
      </c>
      <c r="AD115" t="s">
        <v>140</v>
      </c>
      <c r="AE115" t="s">
        <v>140</v>
      </c>
      <c r="AF115" t="s">
        <v>140</v>
      </c>
      <c r="AG115" t="s">
        <v>140</v>
      </c>
      <c r="AH115" t="s">
        <v>140</v>
      </c>
      <c r="AI115" t="s">
        <v>140</v>
      </c>
      <c r="AJ115" t="s">
        <v>140</v>
      </c>
      <c r="AK115" t="s">
        <v>140</v>
      </c>
      <c r="AL115" t="s">
        <v>140</v>
      </c>
      <c r="AM115" t="s">
        <v>140</v>
      </c>
      <c r="AN115" t="s">
        <v>140</v>
      </c>
      <c r="AO115" t="s">
        <v>140</v>
      </c>
      <c r="AP115" t="s">
        <v>140</v>
      </c>
      <c r="AQ115" t="s">
        <v>140</v>
      </c>
      <c r="AR115" t="s">
        <v>140</v>
      </c>
      <c r="AS115" t="s">
        <v>140</v>
      </c>
      <c r="AT115" t="s">
        <v>140</v>
      </c>
      <c r="AU115" t="s">
        <v>140</v>
      </c>
      <c r="AV115" t="s">
        <v>140</v>
      </c>
      <c r="AW115" t="s">
        <v>140</v>
      </c>
      <c r="AX115" t="s">
        <v>140</v>
      </c>
      <c r="AY115" t="s">
        <v>140</v>
      </c>
      <c r="AZ115" t="s">
        <v>140</v>
      </c>
      <c r="BA115" t="s">
        <v>140</v>
      </c>
      <c r="BB115" t="s">
        <v>140</v>
      </c>
      <c r="BC115" t="s">
        <v>140</v>
      </c>
      <c r="BD115" t="s">
        <v>140</v>
      </c>
      <c r="BE115" t="s">
        <v>140</v>
      </c>
      <c r="BF115" t="s">
        <v>140</v>
      </c>
      <c r="BG115" t="s">
        <v>140</v>
      </c>
      <c r="BH115" t="s">
        <v>140</v>
      </c>
      <c r="BI115" t="s">
        <v>140</v>
      </c>
      <c r="BJ115" t="s">
        <v>140</v>
      </c>
      <c r="BK115" t="s">
        <v>140</v>
      </c>
      <c r="BL115" t="s">
        <v>140</v>
      </c>
      <c r="BM115" t="s">
        <v>140</v>
      </c>
      <c r="BN115" t="s">
        <v>140</v>
      </c>
      <c r="BO115" t="s">
        <v>140</v>
      </c>
      <c r="BP115" t="s">
        <v>140</v>
      </c>
      <c r="BQ115" t="s">
        <v>140</v>
      </c>
      <c r="BR115" t="s">
        <v>140</v>
      </c>
      <c r="BS115" t="s">
        <v>140</v>
      </c>
      <c r="BT115" t="s">
        <v>140</v>
      </c>
      <c r="BU115" t="s">
        <v>140</v>
      </c>
      <c r="BV115" t="s">
        <v>140</v>
      </c>
      <c r="BW115" t="s">
        <v>140</v>
      </c>
      <c r="BX115" t="s">
        <v>140</v>
      </c>
      <c r="BY115" t="s">
        <v>140</v>
      </c>
      <c r="BZ115" t="s">
        <v>140</v>
      </c>
      <c r="CA115" t="s">
        <v>140</v>
      </c>
      <c r="CB115" t="s">
        <v>140</v>
      </c>
      <c r="CC115" t="s">
        <v>140</v>
      </c>
      <c r="CD115" t="s">
        <v>140</v>
      </c>
      <c r="CE115" t="s">
        <v>140</v>
      </c>
      <c r="CF115" t="s">
        <v>140</v>
      </c>
      <c r="CG115" t="s">
        <v>140</v>
      </c>
      <c r="CH115" t="s">
        <v>140</v>
      </c>
      <c r="CI115" t="s">
        <v>140</v>
      </c>
      <c r="CJ115" t="s">
        <v>140</v>
      </c>
      <c r="CK115" t="s">
        <v>140</v>
      </c>
      <c r="CL115" t="s">
        <v>140</v>
      </c>
      <c r="CM115" t="s">
        <v>140</v>
      </c>
      <c r="CN115" t="s">
        <v>140</v>
      </c>
      <c r="CO115" t="s">
        <v>140</v>
      </c>
      <c r="CP115" t="s">
        <v>140</v>
      </c>
      <c r="CQ115" t="s">
        <v>140</v>
      </c>
      <c r="CR115" t="s">
        <v>140</v>
      </c>
      <c r="CS115" t="s">
        <v>140</v>
      </c>
      <c r="CT115" t="s">
        <v>140</v>
      </c>
      <c r="CU115" t="s">
        <v>140</v>
      </c>
      <c r="CV115" t="s">
        <v>140</v>
      </c>
      <c r="CW115" t="s">
        <v>140</v>
      </c>
      <c r="CX115" t="s">
        <v>140</v>
      </c>
      <c r="CY115" t="s">
        <v>140</v>
      </c>
      <c r="CZ115" t="s">
        <v>140</v>
      </c>
      <c r="DA115" t="s">
        <v>140</v>
      </c>
      <c r="DB115" t="s">
        <v>140</v>
      </c>
      <c r="DC115" s="1">
        <v>32</v>
      </c>
      <c r="DD115" s="1">
        <v>52</v>
      </c>
      <c r="DE115" s="1">
        <v>46</v>
      </c>
      <c r="DF115" s="1">
        <v>0</v>
      </c>
      <c r="DG115" s="1">
        <v>0</v>
      </c>
      <c r="DH115" s="1">
        <v>0</v>
      </c>
      <c r="DI115" s="1">
        <v>74</v>
      </c>
      <c r="DJ115" s="1">
        <v>0</v>
      </c>
      <c r="DK115" s="1">
        <v>73</v>
      </c>
      <c r="DL115" s="1">
        <v>101</v>
      </c>
      <c r="DM115" s="1">
        <v>70</v>
      </c>
      <c r="DN115" s="1">
        <v>114</v>
      </c>
      <c r="DO115" s="1">
        <v>119</v>
      </c>
      <c r="DP115" s="1">
        <v>131</v>
      </c>
      <c r="DQ115" s="1">
        <v>135</v>
      </c>
      <c r="DR115" s="1">
        <v>146</v>
      </c>
      <c r="DS115" s="1">
        <v>152</v>
      </c>
      <c r="DT115" s="1">
        <v>169</v>
      </c>
      <c r="DU115" s="1">
        <v>179</v>
      </c>
      <c r="DV115" s="1">
        <v>199</v>
      </c>
      <c r="DW115" s="1">
        <v>196</v>
      </c>
      <c r="DX115" s="1">
        <v>217</v>
      </c>
      <c r="DY115" s="1">
        <v>221</v>
      </c>
      <c r="DZ115" s="1">
        <v>255</v>
      </c>
      <c r="EA115" s="1">
        <v>277</v>
      </c>
      <c r="EB115" s="1">
        <v>222</v>
      </c>
      <c r="EC115" s="1">
        <v>1550</v>
      </c>
      <c r="ED115" s="1">
        <v>201</v>
      </c>
    </row>
    <row r="116" spans="1:134" x14ac:dyDescent="0.25">
      <c r="A116" t="s">
        <v>234</v>
      </c>
      <c r="B116" s="1">
        <v>150</v>
      </c>
      <c r="C116" s="1">
        <v>173</v>
      </c>
      <c r="D116" s="1">
        <v>189</v>
      </c>
      <c r="E116" s="1">
        <v>205</v>
      </c>
      <c r="F116" s="1">
        <v>228</v>
      </c>
      <c r="G116" s="1">
        <v>252</v>
      </c>
      <c r="H116" s="1">
        <v>290</v>
      </c>
      <c r="I116" s="1">
        <v>297</v>
      </c>
      <c r="J116" s="1">
        <v>341</v>
      </c>
      <c r="K116" s="1">
        <v>1545</v>
      </c>
      <c r="L116" s="1">
        <v>1529</v>
      </c>
      <c r="M116" s="1">
        <v>1529</v>
      </c>
      <c r="N116" t="s">
        <v>141</v>
      </c>
      <c r="O116" t="s">
        <v>140</v>
      </c>
      <c r="P116" t="s">
        <v>140</v>
      </c>
      <c r="Q116" t="s">
        <v>140</v>
      </c>
      <c r="R116" t="s">
        <v>140</v>
      </c>
      <c r="S116" t="s">
        <v>140</v>
      </c>
      <c r="T116" t="s">
        <v>140</v>
      </c>
      <c r="U116" t="s">
        <v>140</v>
      </c>
      <c r="V116" t="s">
        <v>140</v>
      </c>
      <c r="W116" t="s">
        <v>140</v>
      </c>
      <c r="X116" t="s">
        <v>140</v>
      </c>
      <c r="Y116" t="s">
        <v>140</v>
      </c>
      <c r="Z116" t="s">
        <v>140</v>
      </c>
      <c r="AA116" t="s">
        <v>140</v>
      </c>
      <c r="AB116" t="s">
        <v>140</v>
      </c>
      <c r="AC116" t="s">
        <v>140</v>
      </c>
      <c r="AD116" t="s">
        <v>140</v>
      </c>
      <c r="AE116" t="s">
        <v>140</v>
      </c>
      <c r="AF116" t="s">
        <v>140</v>
      </c>
      <c r="AG116" t="s">
        <v>140</v>
      </c>
      <c r="AH116" t="s">
        <v>140</v>
      </c>
      <c r="AI116" t="s">
        <v>140</v>
      </c>
      <c r="AJ116" t="s">
        <v>140</v>
      </c>
      <c r="AK116" t="s">
        <v>140</v>
      </c>
      <c r="AL116" t="s">
        <v>140</v>
      </c>
      <c r="AM116" t="s">
        <v>140</v>
      </c>
      <c r="AN116" t="s">
        <v>140</v>
      </c>
      <c r="AO116" t="s">
        <v>140</v>
      </c>
      <c r="AP116" t="s">
        <v>140</v>
      </c>
      <c r="AQ116" t="s">
        <v>140</v>
      </c>
      <c r="AR116" t="s">
        <v>140</v>
      </c>
      <c r="AS116" t="s">
        <v>140</v>
      </c>
      <c r="AT116" t="s">
        <v>140</v>
      </c>
      <c r="AU116" t="s">
        <v>140</v>
      </c>
      <c r="AV116" t="s">
        <v>140</v>
      </c>
      <c r="AW116" t="s">
        <v>140</v>
      </c>
      <c r="AX116" t="s">
        <v>140</v>
      </c>
      <c r="AY116" t="s">
        <v>140</v>
      </c>
      <c r="AZ116" t="s">
        <v>140</v>
      </c>
      <c r="BA116" t="s">
        <v>140</v>
      </c>
      <c r="BB116" t="s">
        <v>140</v>
      </c>
      <c r="BC116" t="s">
        <v>140</v>
      </c>
      <c r="BD116" t="s">
        <v>140</v>
      </c>
      <c r="BE116" t="s">
        <v>140</v>
      </c>
      <c r="BF116" t="s">
        <v>140</v>
      </c>
      <c r="BG116" t="s">
        <v>140</v>
      </c>
      <c r="BH116" t="s">
        <v>140</v>
      </c>
      <c r="BI116" t="s">
        <v>140</v>
      </c>
      <c r="BJ116" t="s">
        <v>140</v>
      </c>
      <c r="BK116" t="s">
        <v>140</v>
      </c>
      <c r="BL116" t="s">
        <v>140</v>
      </c>
      <c r="BM116" t="s">
        <v>140</v>
      </c>
      <c r="BN116" t="s">
        <v>140</v>
      </c>
      <c r="BO116" t="s">
        <v>140</v>
      </c>
      <c r="BP116" t="s">
        <v>140</v>
      </c>
      <c r="BQ116" t="s">
        <v>140</v>
      </c>
      <c r="BR116" t="s">
        <v>140</v>
      </c>
      <c r="BS116" t="s">
        <v>140</v>
      </c>
      <c r="BT116" t="s">
        <v>140</v>
      </c>
      <c r="BU116" t="s">
        <v>140</v>
      </c>
      <c r="BV116" t="s">
        <v>140</v>
      </c>
      <c r="BW116" t="s">
        <v>140</v>
      </c>
      <c r="BX116" t="s">
        <v>140</v>
      </c>
      <c r="BY116" t="s">
        <v>140</v>
      </c>
      <c r="BZ116" t="s">
        <v>140</v>
      </c>
      <c r="CA116" t="s">
        <v>140</v>
      </c>
      <c r="CB116" t="s">
        <v>140</v>
      </c>
      <c r="CC116" t="s">
        <v>140</v>
      </c>
      <c r="CD116" t="s">
        <v>140</v>
      </c>
      <c r="CE116" t="s">
        <v>140</v>
      </c>
      <c r="CF116" t="s">
        <v>140</v>
      </c>
      <c r="CG116" t="s">
        <v>140</v>
      </c>
      <c r="CH116" t="s">
        <v>140</v>
      </c>
      <c r="CI116" t="s">
        <v>140</v>
      </c>
      <c r="CJ116" t="s">
        <v>140</v>
      </c>
      <c r="CK116" t="s">
        <v>140</v>
      </c>
      <c r="CL116" t="s">
        <v>140</v>
      </c>
      <c r="CM116" t="s">
        <v>140</v>
      </c>
      <c r="CN116" t="s">
        <v>140</v>
      </c>
      <c r="CO116" t="s">
        <v>140</v>
      </c>
      <c r="CP116" t="s">
        <v>140</v>
      </c>
      <c r="CQ116" t="s">
        <v>140</v>
      </c>
      <c r="CR116" t="s">
        <v>140</v>
      </c>
      <c r="CS116" t="s">
        <v>140</v>
      </c>
      <c r="CT116" t="s">
        <v>140</v>
      </c>
      <c r="CU116" t="s">
        <v>140</v>
      </c>
      <c r="CV116" t="s">
        <v>140</v>
      </c>
      <c r="CW116" t="s">
        <v>140</v>
      </c>
      <c r="CX116" t="s">
        <v>140</v>
      </c>
      <c r="CY116" t="s">
        <v>140</v>
      </c>
      <c r="CZ116" t="s">
        <v>140</v>
      </c>
      <c r="DA116" t="s">
        <v>140</v>
      </c>
      <c r="DB116" t="s">
        <v>140</v>
      </c>
      <c r="DC116" s="1">
        <v>32</v>
      </c>
      <c r="DD116" s="1">
        <v>52</v>
      </c>
      <c r="DE116" s="1">
        <v>46</v>
      </c>
      <c r="DF116" s="1">
        <v>102</v>
      </c>
      <c r="DG116" s="1">
        <v>0</v>
      </c>
      <c r="DH116" s="1">
        <v>138</v>
      </c>
      <c r="DI116" s="1">
        <v>74</v>
      </c>
      <c r="DJ116" s="1">
        <v>150</v>
      </c>
      <c r="DK116" s="1">
        <v>73</v>
      </c>
      <c r="DL116" s="1">
        <v>173</v>
      </c>
      <c r="DM116" s="1">
        <v>70</v>
      </c>
      <c r="DN116" s="1">
        <v>189</v>
      </c>
      <c r="DO116" s="1">
        <v>194</v>
      </c>
      <c r="DP116" s="1">
        <v>205</v>
      </c>
      <c r="DQ116" s="1">
        <v>216</v>
      </c>
      <c r="DR116" s="1">
        <v>228</v>
      </c>
      <c r="DS116" s="1">
        <v>235</v>
      </c>
      <c r="DT116" s="1">
        <v>252</v>
      </c>
      <c r="DU116" s="1">
        <v>263</v>
      </c>
      <c r="DV116" s="1">
        <v>290</v>
      </c>
      <c r="DW116" s="1">
        <v>281</v>
      </c>
      <c r="DX116" s="1">
        <v>297</v>
      </c>
      <c r="DY116" s="1">
        <v>303</v>
      </c>
      <c r="DZ116" s="1">
        <v>341</v>
      </c>
      <c r="EA116" s="1">
        <v>1601</v>
      </c>
      <c r="EB116" s="1">
        <v>1545</v>
      </c>
      <c r="EC116" s="1">
        <v>1557</v>
      </c>
      <c r="ED116" s="1">
        <v>1529</v>
      </c>
    </row>
    <row r="117" spans="1:134" x14ac:dyDescent="0.25">
      <c r="A117" t="s">
        <v>235</v>
      </c>
      <c r="B117" s="1">
        <v>-74</v>
      </c>
      <c r="C117" s="1">
        <v>-97</v>
      </c>
      <c r="D117" s="1">
        <v>-116</v>
      </c>
      <c r="E117" s="1">
        <v>-135</v>
      </c>
      <c r="F117" s="1">
        <v>-156</v>
      </c>
      <c r="G117" s="1">
        <v>-176</v>
      </c>
      <c r="H117" s="1">
        <v>-203</v>
      </c>
      <c r="I117" s="1">
        <v>-182</v>
      </c>
      <c r="J117" s="1">
        <v>-203</v>
      </c>
      <c r="K117" s="1">
        <v>-156</v>
      </c>
      <c r="L117" s="1">
        <v>-228</v>
      </c>
      <c r="M117" s="1">
        <v>-228</v>
      </c>
      <c r="N117" t="s">
        <v>141</v>
      </c>
      <c r="O117" t="s">
        <v>140</v>
      </c>
      <c r="P117" t="s">
        <v>140</v>
      </c>
      <c r="Q117" t="s">
        <v>140</v>
      </c>
      <c r="R117" t="s">
        <v>140</v>
      </c>
      <c r="S117" t="s">
        <v>140</v>
      </c>
      <c r="T117" t="s">
        <v>140</v>
      </c>
      <c r="U117" t="s">
        <v>140</v>
      </c>
      <c r="V117" t="s">
        <v>140</v>
      </c>
      <c r="W117" t="s">
        <v>140</v>
      </c>
      <c r="X117" t="s">
        <v>140</v>
      </c>
      <c r="Y117" t="s">
        <v>140</v>
      </c>
      <c r="Z117" t="s">
        <v>140</v>
      </c>
      <c r="AA117" t="s">
        <v>140</v>
      </c>
      <c r="AB117" t="s">
        <v>140</v>
      </c>
      <c r="AC117" t="s">
        <v>140</v>
      </c>
      <c r="AD117" t="s">
        <v>140</v>
      </c>
      <c r="AE117" t="s">
        <v>140</v>
      </c>
      <c r="AF117" t="s">
        <v>140</v>
      </c>
      <c r="AG117" t="s">
        <v>140</v>
      </c>
      <c r="AH117" t="s">
        <v>140</v>
      </c>
      <c r="AI117" t="s">
        <v>140</v>
      </c>
      <c r="AJ117" t="s">
        <v>140</v>
      </c>
      <c r="AK117" t="s">
        <v>140</v>
      </c>
      <c r="AL117" t="s">
        <v>140</v>
      </c>
      <c r="AM117" t="s">
        <v>140</v>
      </c>
      <c r="AN117" t="s">
        <v>140</v>
      </c>
      <c r="AO117" t="s">
        <v>140</v>
      </c>
      <c r="AP117" t="s">
        <v>140</v>
      </c>
      <c r="AQ117" t="s">
        <v>140</v>
      </c>
      <c r="AR117" t="s">
        <v>140</v>
      </c>
      <c r="AS117" t="s">
        <v>140</v>
      </c>
      <c r="AT117" t="s">
        <v>140</v>
      </c>
      <c r="AU117" t="s">
        <v>140</v>
      </c>
      <c r="AV117" t="s">
        <v>140</v>
      </c>
      <c r="AW117" t="s">
        <v>140</v>
      </c>
      <c r="AX117" t="s">
        <v>140</v>
      </c>
      <c r="AY117" t="s">
        <v>140</v>
      </c>
      <c r="AZ117" t="s">
        <v>140</v>
      </c>
      <c r="BA117" t="s">
        <v>140</v>
      </c>
      <c r="BB117" t="s">
        <v>140</v>
      </c>
      <c r="BC117" t="s">
        <v>140</v>
      </c>
      <c r="BD117" t="s">
        <v>140</v>
      </c>
      <c r="BE117" t="s">
        <v>140</v>
      </c>
      <c r="BF117" t="s">
        <v>140</v>
      </c>
      <c r="BG117" t="s">
        <v>140</v>
      </c>
      <c r="BH117" t="s">
        <v>140</v>
      </c>
      <c r="BI117" t="s">
        <v>140</v>
      </c>
      <c r="BJ117" t="s">
        <v>140</v>
      </c>
      <c r="BK117" t="s">
        <v>140</v>
      </c>
      <c r="BL117" t="s">
        <v>140</v>
      </c>
      <c r="BM117" t="s">
        <v>140</v>
      </c>
      <c r="BN117" t="s">
        <v>140</v>
      </c>
      <c r="BO117" t="s">
        <v>140</v>
      </c>
      <c r="BP117" t="s">
        <v>140</v>
      </c>
      <c r="BQ117" t="s">
        <v>140</v>
      </c>
      <c r="BR117" t="s">
        <v>140</v>
      </c>
      <c r="BS117" t="s">
        <v>140</v>
      </c>
      <c r="BT117" t="s">
        <v>140</v>
      </c>
      <c r="BU117" t="s">
        <v>140</v>
      </c>
      <c r="BV117" t="s">
        <v>140</v>
      </c>
      <c r="BW117" t="s">
        <v>140</v>
      </c>
      <c r="BX117" t="s">
        <v>140</v>
      </c>
      <c r="BY117" t="s">
        <v>140</v>
      </c>
      <c r="BZ117" t="s">
        <v>140</v>
      </c>
      <c r="CA117" t="s">
        <v>140</v>
      </c>
      <c r="CB117" t="s">
        <v>140</v>
      </c>
      <c r="CC117" t="s">
        <v>140</v>
      </c>
      <c r="CD117" t="s">
        <v>140</v>
      </c>
      <c r="CE117" t="s">
        <v>140</v>
      </c>
      <c r="CF117" t="s">
        <v>140</v>
      </c>
      <c r="CG117" t="s">
        <v>140</v>
      </c>
      <c r="CH117" t="s">
        <v>140</v>
      </c>
      <c r="CI117" t="s">
        <v>140</v>
      </c>
      <c r="CJ117" t="s">
        <v>140</v>
      </c>
      <c r="CK117" t="s">
        <v>140</v>
      </c>
      <c r="CL117" t="s">
        <v>140</v>
      </c>
      <c r="CM117" t="s">
        <v>140</v>
      </c>
      <c r="CN117" t="s">
        <v>140</v>
      </c>
      <c r="CO117" t="s">
        <v>140</v>
      </c>
      <c r="CP117" t="s">
        <v>140</v>
      </c>
      <c r="CQ117" t="s">
        <v>140</v>
      </c>
      <c r="CR117" t="s">
        <v>140</v>
      </c>
      <c r="CS117" t="s">
        <v>140</v>
      </c>
      <c r="CT117" t="s">
        <v>140</v>
      </c>
      <c r="CU117" t="s">
        <v>140</v>
      </c>
      <c r="CV117" t="s">
        <v>140</v>
      </c>
      <c r="CW117" t="s">
        <v>140</v>
      </c>
      <c r="CX117" t="s">
        <v>140</v>
      </c>
      <c r="CY117" t="s">
        <v>140</v>
      </c>
      <c r="CZ117" t="s">
        <v>140</v>
      </c>
      <c r="DA117" t="s">
        <v>140</v>
      </c>
      <c r="DB117" t="s">
        <v>140</v>
      </c>
      <c r="DC117" s="1">
        <v>0</v>
      </c>
      <c r="DD117" s="1">
        <v>0</v>
      </c>
      <c r="DE117" s="1">
        <v>0</v>
      </c>
      <c r="DF117" s="1">
        <v>-37</v>
      </c>
      <c r="DG117" s="1">
        <v>0</v>
      </c>
      <c r="DH117" s="1">
        <v>-52</v>
      </c>
      <c r="DI117" s="1">
        <v>0</v>
      </c>
      <c r="DJ117" s="1">
        <v>-74</v>
      </c>
      <c r="DK117" s="1">
        <v>0</v>
      </c>
      <c r="DL117" s="1">
        <v>-97</v>
      </c>
      <c r="DM117" s="1">
        <v>0</v>
      </c>
      <c r="DN117" s="1">
        <v>-116</v>
      </c>
      <c r="DO117" s="1">
        <v>-126</v>
      </c>
      <c r="DP117" s="1">
        <v>-135</v>
      </c>
      <c r="DQ117" s="1">
        <v>-143</v>
      </c>
      <c r="DR117" s="1">
        <v>-156</v>
      </c>
      <c r="DS117" s="1">
        <v>-170</v>
      </c>
      <c r="DT117" s="1">
        <v>-176</v>
      </c>
      <c r="DU117" s="1">
        <v>-185</v>
      </c>
      <c r="DV117" s="1">
        <v>-203</v>
      </c>
      <c r="DW117" s="1">
        <v>-191</v>
      </c>
      <c r="DX117" s="1">
        <v>-182</v>
      </c>
      <c r="DY117" s="1">
        <v>-191</v>
      </c>
      <c r="DZ117" s="1">
        <v>-203</v>
      </c>
      <c r="EA117" s="1">
        <v>-189</v>
      </c>
      <c r="EB117" s="1">
        <v>-156</v>
      </c>
      <c r="EC117" s="1">
        <v>-200</v>
      </c>
      <c r="ED117" s="1">
        <v>-228</v>
      </c>
    </row>
    <row r="118" spans="1:134" x14ac:dyDescent="0.25">
      <c r="A118" t="s">
        <v>236</v>
      </c>
      <c r="B118" s="1">
        <v>76</v>
      </c>
      <c r="C118" s="1">
        <v>76</v>
      </c>
      <c r="D118" s="1">
        <v>73</v>
      </c>
      <c r="E118" s="1">
        <v>70</v>
      </c>
      <c r="F118" s="1">
        <v>72</v>
      </c>
      <c r="G118" s="1">
        <v>76</v>
      </c>
      <c r="H118" s="1">
        <v>87</v>
      </c>
      <c r="I118" s="1">
        <v>115</v>
      </c>
      <c r="J118" s="1">
        <v>138</v>
      </c>
      <c r="K118" s="1">
        <v>1389</v>
      </c>
      <c r="L118" s="1">
        <v>1301</v>
      </c>
      <c r="M118" s="1">
        <v>1301</v>
      </c>
      <c r="N118" t="s">
        <v>141</v>
      </c>
      <c r="O118" t="s">
        <v>140</v>
      </c>
      <c r="P118" t="s">
        <v>140</v>
      </c>
      <c r="Q118" t="s">
        <v>140</v>
      </c>
      <c r="R118" t="s">
        <v>140</v>
      </c>
      <c r="S118" t="s">
        <v>140</v>
      </c>
      <c r="T118" t="s">
        <v>140</v>
      </c>
      <c r="U118" t="s">
        <v>140</v>
      </c>
      <c r="V118" t="s">
        <v>140</v>
      </c>
      <c r="W118" t="s">
        <v>140</v>
      </c>
      <c r="X118" t="s">
        <v>140</v>
      </c>
      <c r="Y118" t="s">
        <v>140</v>
      </c>
      <c r="Z118" t="s">
        <v>140</v>
      </c>
      <c r="AA118" t="s">
        <v>140</v>
      </c>
      <c r="AB118" t="s">
        <v>140</v>
      </c>
      <c r="AC118" t="s">
        <v>140</v>
      </c>
      <c r="AD118" t="s">
        <v>140</v>
      </c>
      <c r="AE118" t="s">
        <v>140</v>
      </c>
      <c r="AF118" t="s">
        <v>140</v>
      </c>
      <c r="AG118" t="s">
        <v>140</v>
      </c>
      <c r="AH118" t="s">
        <v>140</v>
      </c>
      <c r="AI118" t="s">
        <v>140</v>
      </c>
      <c r="AJ118" t="s">
        <v>140</v>
      </c>
      <c r="AK118" t="s">
        <v>140</v>
      </c>
      <c r="AL118" t="s">
        <v>140</v>
      </c>
      <c r="AM118" t="s">
        <v>140</v>
      </c>
      <c r="AN118" t="s">
        <v>140</v>
      </c>
      <c r="AO118" t="s">
        <v>140</v>
      </c>
      <c r="AP118" t="s">
        <v>140</v>
      </c>
      <c r="AQ118" t="s">
        <v>140</v>
      </c>
      <c r="AR118" t="s">
        <v>140</v>
      </c>
      <c r="AS118" t="s">
        <v>140</v>
      </c>
      <c r="AT118" t="s">
        <v>140</v>
      </c>
      <c r="AU118" t="s">
        <v>140</v>
      </c>
      <c r="AV118" t="s">
        <v>140</v>
      </c>
      <c r="AW118" t="s">
        <v>140</v>
      </c>
      <c r="AX118" t="s">
        <v>140</v>
      </c>
      <c r="AY118" t="s">
        <v>140</v>
      </c>
      <c r="AZ118" t="s">
        <v>140</v>
      </c>
      <c r="BA118" t="s">
        <v>140</v>
      </c>
      <c r="BB118" t="s">
        <v>140</v>
      </c>
      <c r="BC118" t="s">
        <v>140</v>
      </c>
      <c r="BD118" t="s">
        <v>140</v>
      </c>
      <c r="BE118" t="s">
        <v>140</v>
      </c>
      <c r="BF118" t="s">
        <v>140</v>
      </c>
      <c r="BG118" t="s">
        <v>140</v>
      </c>
      <c r="BH118" t="s">
        <v>140</v>
      </c>
      <c r="BI118" t="s">
        <v>140</v>
      </c>
      <c r="BJ118" t="s">
        <v>140</v>
      </c>
      <c r="BK118" t="s">
        <v>140</v>
      </c>
      <c r="BL118" t="s">
        <v>140</v>
      </c>
      <c r="BM118" t="s">
        <v>140</v>
      </c>
      <c r="BN118" t="s">
        <v>140</v>
      </c>
      <c r="BO118" t="s">
        <v>140</v>
      </c>
      <c r="BP118" t="s">
        <v>140</v>
      </c>
      <c r="BQ118" t="s">
        <v>140</v>
      </c>
      <c r="BR118" t="s">
        <v>140</v>
      </c>
      <c r="BS118" t="s">
        <v>140</v>
      </c>
      <c r="BT118" t="s">
        <v>140</v>
      </c>
      <c r="BU118" t="s">
        <v>140</v>
      </c>
      <c r="BV118" t="s">
        <v>140</v>
      </c>
      <c r="BW118" t="s">
        <v>140</v>
      </c>
      <c r="BX118" t="s">
        <v>140</v>
      </c>
      <c r="BY118" t="s">
        <v>140</v>
      </c>
      <c r="BZ118" t="s">
        <v>140</v>
      </c>
      <c r="CA118" t="s">
        <v>140</v>
      </c>
      <c r="CB118" t="s">
        <v>140</v>
      </c>
      <c r="CC118" t="s">
        <v>140</v>
      </c>
      <c r="CD118" t="s">
        <v>140</v>
      </c>
      <c r="CE118" t="s">
        <v>140</v>
      </c>
      <c r="CF118" t="s">
        <v>140</v>
      </c>
      <c r="CG118" t="s">
        <v>140</v>
      </c>
      <c r="CH118" t="s">
        <v>140</v>
      </c>
      <c r="CI118" t="s">
        <v>140</v>
      </c>
      <c r="CJ118" t="s">
        <v>140</v>
      </c>
      <c r="CK118" t="s">
        <v>140</v>
      </c>
      <c r="CL118" t="s">
        <v>140</v>
      </c>
      <c r="CM118" t="s">
        <v>140</v>
      </c>
      <c r="CN118" t="s">
        <v>140</v>
      </c>
      <c r="CO118" t="s">
        <v>140</v>
      </c>
      <c r="CP118" t="s">
        <v>140</v>
      </c>
      <c r="CQ118" t="s">
        <v>140</v>
      </c>
      <c r="CR118" t="s">
        <v>140</v>
      </c>
      <c r="CS118" t="s">
        <v>140</v>
      </c>
      <c r="CT118" t="s">
        <v>140</v>
      </c>
      <c r="CU118" t="s">
        <v>140</v>
      </c>
      <c r="CV118" t="s">
        <v>140</v>
      </c>
      <c r="CW118" t="s">
        <v>140</v>
      </c>
      <c r="CX118" t="s">
        <v>140</v>
      </c>
      <c r="CY118" t="s">
        <v>140</v>
      </c>
      <c r="CZ118" t="s">
        <v>140</v>
      </c>
      <c r="DA118" t="s">
        <v>140</v>
      </c>
      <c r="DB118" t="s">
        <v>140</v>
      </c>
      <c r="DC118" s="1">
        <v>32</v>
      </c>
      <c r="DD118" s="1">
        <v>52</v>
      </c>
      <c r="DE118" s="1">
        <v>46</v>
      </c>
      <c r="DF118" s="1">
        <v>65</v>
      </c>
      <c r="DG118" s="1">
        <v>0</v>
      </c>
      <c r="DH118" s="1">
        <v>86</v>
      </c>
      <c r="DI118" s="1">
        <v>74</v>
      </c>
      <c r="DJ118" s="1">
        <v>76</v>
      </c>
      <c r="DK118" s="1">
        <v>73</v>
      </c>
      <c r="DL118" s="1">
        <v>76</v>
      </c>
      <c r="DM118" s="1">
        <v>70</v>
      </c>
      <c r="DN118" s="1">
        <v>73</v>
      </c>
      <c r="DO118" s="1">
        <v>68</v>
      </c>
      <c r="DP118" s="1">
        <v>70</v>
      </c>
      <c r="DQ118" s="1">
        <v>73</v>
      </c>
      <c r="DR118" s="1">
        <v>72</v>
      </c>
      <c r="DS118" s="1">
        <v>65</v>
      </c>
      <c r="DT118" s="1">
        <v>76</v>
      </c>
      <c r="DU118" s="1">
        <v>78</v>
      </c>
      <c r="DV118" s="1">
        <v>87</v>
      </c>
      <c r="DW118" s="1">
        <v>90</v>
      </c>
      <c r="DX118" s="1">
        <v>115</v>
      </c>
      <c r="DY118" s="1">
        <v>112</v>
      </c>
      <c r="DZ118" s="1">
        <v>138</v>
      </c>
      <c r="EA118" s="1">
        <v>1412</v>
      </c>
      <c r="EB118" s="1">
        <v>1389</v>
      </c>
      <c r="EC118" s="1">
        <v>1357</v>
      </c>
      <c r="ED118" s="1">
        <v>1301</v>
      </c>
    </row>
    <row r="119" spans="1:134" x14ac:dyDescent="0.25">
      <c r="A119" t="s">
        <v>237</v>
      </c>
      <c r="B119" s="1">
        <v>281</v>
      </c>
      <c r="C119" s="1">
        <v>331</v>
      </c>
      <c r="D119" s="1">
        <v>331</v>
      </c>
      <c r="E119" s="1">
        <v>331</v>
      </c>
      <c r="F119" s="1">
        <v>384</v>
      </c>
      <c r="G119" s="1">
        <v>487</v>
      </c>
      <c r="H119" s="1">
        <v>466</v>
      </c>
      <c r="I119" s="1">
        <v>416</v>
      </c>
      <c r="J119" s="1">
        <v>433</v>
      </c>
      <c r="K119" s="1">
        <v>424</v>
      </c>
      <c r="L119" s="1">
        <v>392</v>
      </c>
      <c r="M119" s="1">
        <v>392</v>
      </c>
      <c r="N119" t="s">
        <v>141</v>
      </c>
      <c r="O119" t="s">
        <v>140</v>
      </c>
      <c r="P119" t="s">
        <v>140</v>
      </c>
      <c r="Q119" t="s">
        <v>140</v>
      </c>
      <c r="R119" t="s">
        <v>140</v>
      </c>
      <c r="S119" t="s">
        <v>140</v>
      </c>
      <c r="T119" t="s">
        <v>140</v>
      </c>
      <c r="U119" t="s">
        <v>140</v>
      </c>
      <c r="V119" t="s">
        <v>140</v>
      </c>
      <c r="W119" t="s">
        <v>140</v>
      </c>
      <c r="X119" t="s">
        <v>140</v>
      </c>
      <c r="Y119" t="s">
        <v>140</v>
      </c>
      <c r="Z119" t="s">
        <v>140</v>
      </c>
      <c r="AA119" t="s">
        <v>140</v>
      </c>
      <c r="AB119" t="s">
        <v>140</v>
      </c>
      <c r="AC119" t="s">
        <v>140</v>
      </c>
      <c r="AD119" t="s">
        <v>140</v>
      </c>
      <c r="AE119" t="s">
        <v>140</v>
      </c>
      <c r="AF119" t="s">
        <v>140</v>
      </c>
      <c r="AG119" t="s">
        <v>140</v>
      </c>
      <c r="AH119" t="s">
        <v>140</v>
      </c>
      <c r="AI119" t="s">
        <v>140</v>
      </c>
      <c r="AJ119" t="s">
        <v>140</v>
      </c>
      <c r="AK119" t="s">
        <v>140</v>
      </c>
      <c r="AL119" t="s">
        <v>140</v>
      </c>
      <c r="AM119" t="s">
        <v>140</v>
      </c>
      <c r="AN119" t="s">
        <v>140</v>
      </c>
      <c r="AO119" t="s">
        <v>140</v>
      </c>
      <c r="AP119" t="s">
        <v>140</v>
      </c>
      <c r="AQ119" t="s">
        <v>140</v>
      </c>
      <c r="AR119" t="s">
        <v>140</v>
      </c>
      <c r="AS119" t="s">
        <v>140</v>
      </c>
      <c r="AT119" t="s">
        <v>140</v>
      </c>
      <c r="AU119" t="s">
        <v>140</v>
      </c>
      <c r="AV119" t="s">
        <v>140</v>
      </c>
      <c r="AW119" t="s">
        <v>140</v>
      </c>
      <c r="AX119" t="s">
        <v>140</v>
      </c>
      <c r="AY119" t="s">
        <v>140</v>
      </c>
      <c r="AZ119" t="s">
        <v>140</v>
      </c>
      <c r="BA119" t="s">
        <v>140</v>
      </c>
      <c r="BB119" t="s">
        <v>140</v>
      </c>
      <c r="BC119" t="s">
        <v>140</v>
      </c>
      <c r="BD119" t="s">
        <v>140</v>
      </c>
      <c r="BE119" t="s">
        <v>140</v>
      </c>
      <c r="BF119" t="s">
        <v>140</v>
      </c>
      <c r="BG119" t="s">
        <v>140</v>
      </c>
      <c r="BH119" t="s">
        <v>140</v>
      </c>
      <c r="BI119" t="s">
        <v>140</v>
      </c>
      <c r="BJ119" t="s">
        <v>140</v>
      </c>
      <c r="BK119" t="s">
        <v>140</v>
      </c>
      <c r="BL119" t="s">
        <v>140</v>
      </c>
      <c r="BM119" t="s">
        <v>140</v>
      </c>
      <c r="BN119" t="s">
        <v>140</v>
      </c>
      <c r="BO119" t="s">
        <v>140</v>
      </c>
      <c r="BP119" t="s">
        <v>140</v>
      </c>
      <c r="BQ119" t="s">
        <v>140</v>
      </c>
      <c r="BR119" t="s">
        <v>140</v>
      </c>
      <c r="BS119" t="s">
        <v>140</v>
      </c>
      <c r="BT119" t="s">
        <v>140</v>
      </c>
      <c r="BU119" t="s">
        <v>140</v>
      </c>
      <c r="BV119" t="s">
        <v>140</v>
      </c>
      <c r="BW119" t="s">
        <v>140</v>
      </c>
      <c r="BX119" t="s">
        <v>140</v>
      </c>
      <c r="BY119" t="s">
        <v>140</v>
      </c>
      <c r="BZ119" t="s">
        <v>140</v>
      </c>
      <c r="CA119" t="s">
        <v>140</v>
      </c>
      <c r="CB119" t="s">
        <v>140</v>
      </c>
      <c r="CC119" t="s">
        <v>140</v>
      </c>
      <c r="CD119" t="s">
        <v>140</v>
      </c>
      <c r="CE119" t="s">
        <v>140</v>
      </c>
      <c r="CF119" t="s">
        <v>140</v>
      </c>
      <c r="CG119" t="s">
        <v>140</v>
      </c>
      <c r="CH119" t="s">
        <v>140</v>
      </c>
      <c r="CI119" t="s">
        <v>140</v>
      </c>
      <c r="CJ119" t="s">
        <v>140</v>
      </c>
      <c r="CK119" t="s">
        <v>140</v>
      </c>
      <c r="CL119" t="s">
        <v>140</v>
      </c>
      <c r="CM119" t="s">
        <v>140</v>
      </c>
      <c r="CN119" t="s">
        <v>140</v>
      </c>
      <c r="CO119" t="s">
        <v>140</v>
      </c>
      <c r="CP119" t="s">
        <v>140</v>
      </c>
      <c r="CQ119" t="s">
        <v>140</v>
      </c>
      <c r="CR119" t="s">
        <v>140</v>
      </c>
      <c r="CS119" t="s">
        <v>140</v>
      </c>
      <c r="CT119" t="s">
        <v>140</v>
      </c>
      <c r="CU119" t="s">
        <v>140</v>
      </c>
      <c r="CV119" t="s">
        <v>140</v>
      </c>
      <c r="CW119" t="s">
        <v>140</v>
      </c>
      <c r="CX119" t="s">
        <v>140</v>
      </c>
      <c r="CY119" t="s">
        <v>140</v>
      </c>
      <c r="CZ119" t="s">
        <v>140</v>
      </c>
      <c r="DA119" t="s">
        <v>140</v>
      </c>
      <c r="DB119" t="s">
        <v>140</v>
      </c>
      <c r="DC119" s="1">
        <v>3988</v>
      </c>
      <c r="DD119" s="1">
        <v>3988</v>
      </c>
      <c r="DE119" s="1">
        <v>3988</v>
      </c>
      <c r="DF119" s="1">
        <v>3988</v>
      </c>
      <c r="DG119" s="1">
        <v>0</v>
      </c>
      <c r="DH119" s="1">
        <v>281</v>
      </c>
      <c r="DI119" s="1">
        <v>3988</v>
      </c>
      <c r="DJ119" s="1">
        <v>281</v>
      </c>
      <c r="DK119" s="1">
        <v>321</v>
      </c>
      <c r="DL119" s="1">
        <v>331</v>
      </c>
      <c r="DM119" s="1">
        <v>331</v>
      </c>
      <c r="DN119" s="1">
        <v>331</v>
      </c>
      <c r="DO119" s="1">
        <v>331</v>
      </c>
      <c r="DP119" s="1">
        <v>331</v>
      </c>
      <c r="DQ119" s="1">
        <v>388</v>
      </c>
      <c r="DR119" s="1">
        <v>384</v>
      </c>
      <c r="DS119" s="1">
        <v>482</v>
      </c>
      <c r="DT119" s="1">
        <v>487</v>
      </c>
      <c r="DU119" s="1">
        <v>476</v>
      </c>
      <c r="DV119" s="1">
        <v>466</v>
      </c>
      <c r="DW119" s="1">
        <v>487</v>
      </c>
      <c r="DX119" s="1">
        <v>416</v>
      </c>
      <c r="DY119" s="1">
        <v>399</v>
      </c>
      <c r="DZ119" s="1">
        <v>433</v>
      </c>
      <c r="EA119" s="1">
        <v>426</v>
      </c>
      <c r="EB119" s="1">
        <v>424</v>
      </c>
      <c r="EC119" s="1">
        <v>386</v>
      </c>
      <c r="ED119" s="1">
        <v>392</v>
      </c>
    </row>
    <row r="120" spans="1:134" x14ac:dyDescent="0.25">
      <c r="A120" t="s">
        <v>238</v>
      </c>
      <c r="B120" s="1">
        <v>281</v>
      </c>
      <c r="C120" s="1">
        <v>331</v>
      </c>
      <c r="D120" s="1">
        <v>331</v>
      </c>
      <c r="E120" s="1">
        <v>331</v>
      </c>
      <c r="F120" s="1">
        <v>384</v>
      </c>
      <c r="G120" s="1">
        <v>487</v>
      </c>
      <c r="H120" s="1">
        <v>466</v>
      </c>
      <c r="I120" s="1">
        <v>416</v>
      </c>
      <c r="J120" s="1">
        <v>433</v>
      </c>
      <c r="K120" s="1">
        <v>424</v>
      </c>
      <c r="L120" s="1">
        <v>392</v>
      </c>
      <c r="M120" s="1">
        <v>392</v>
      </c>
      <c r="N120" t="s">
        <v>141</v>
      </c>
      <c r="O120" t="s">
        <v>140</v>
      </c>
      <c r="P120" t="s">
        <v>140</v>
      </c>
      <c r="Q120" t="s">
        <v>140</v>
      </c>
      <c r="R120" t="s">
        <v>140</v>
      </c>
      <c r="S120" t="s">
        <v>140</v>
      </c>
      <c r="T120" t="s">
        <v>140</v>
      </c>
      <c r="U120" t="s">
        <v>140</v>
      </c>
      <c r="V120" t="s">
        <v>140</v>
      </c>
      <c r="W120" t="s">
        <v>140</v>
      </c>
      <c r="X120" t="s">
        <v>140</v>
      </c>
      <c r="Y120" t="s">
        <v>140</v>
      </c>
      <c r="Z120" t="s">
        <v>140</v>
      </c>
      <c r="AA120" t="s">
        <v>140</v>
      </c>
      <c r="AB120" t="s">
        <v>140</v>
      </c>
      <c r="AC120" t="s">
        <v>140</v>
      </c>
      <c r="AD120" t="s">
        <v>140</v>
      </c>
      <c r="AE120" t="s">
        <v>140</v>
      </c>
      <c r="AF120" t="s">
        <v>140</v>
      </c>
      <c r="AG120" t="s">
        <v>140</v>
      </c>
      <c r="AH120" t="s">
        <v>140</v>
      </c>
      <c r="AI120" t="s">
        <v>140</v>
      </c>
      <c r="AJ120" t="s">
        <v>140</v>
      </c>
      <c r="AK120" t="s">
        <v>140</v>
      </c>
      <c r="AL120" t="s">
        <v>140</v>
      </c>
      <c r="AM120" t="s">
        <v>140</v>
      </c>
      <c r="AN120" t="s">
        <v>140</v>
      </c>
      <c r="AO120" t="s">
        <v>140</v>
      </c>
      <c r="AP120" t="s">
        <v>140</v>
      </c>
      <c r="AQ120" t="s">
        <v>140</v>
      </c>
      <c r="AR120" t="s">
        <v>140</v>
      </c>
      <c r="AS120" t="s">
        <v>140</v>
      </c>
      <c r="AT120" t="s">
        <v>140</v>
      </c>
      <c r="AU120" t="s">
        <v>140</v>
      </c>
      <c r="AV120" t="s">
        <v>140</v>
      </c>
      <c r="AW120" t="s">
        <v>140</v>
      </c>
      <c r="AX120" t="s">
        <v>140</v>
      </c>
      <c r="AY120" t="s">
        <v>140</v>
      </c>
      <c r="AZ120" t="s">
        <v>140</v>
      </c>
      <c r="BA120" t="s">
        <v>140</v>
      </c>
      <c r="BB120" t="s">
        <v>140</v>
      </c>
      <c r="BC120" t="s">
        <v>140</v>
      </c>
      <c r="BD120" t="s">
        <v>140</v>
      </c>
      <c r="BE120" t="s">
        <v>140</v>
      </c>
      <c r="BF120" t="s">
        <v>140</v>
      </c>
      <c r="BG120" t="s">
        <v>140</v>
      </c>
      <c r="BH120" t="s">
        <v>140</v>
      </c>
      <c r="BI120" t="s">
        <v>140</v>
      </c>
      <c r="BJ120" t="s">
        <v>140</v>
      </c>
      <c r="BK120" t="s">
        <v>140</v>
      </c>
      <c r="BL120" t="s">
        <v>140</v>
      </c>
      <c r="BM120" t="s">
        <v>140</v>
      </c>
      <c r="BN120" t="s">
        <v>140</v>
      </c>
      <c r="BO120" t="s">
        <v>140</v>
      </c>
      <c r="BP120" t="s">
        <v>140</v>
      </c>
      <c r="BQ120" t="s">
        <v>140</v>
      </c>
      <c r="BR120" t="s">
        <v>140</v>
      </c>
      <c r="BS120" t="s">
        <v>140</v>
      </c>
      <c r="BT120" t="s">
        <v>140</v>
      </c>
      <c r="BU120" t="s">
        <v>140</v>
      </c>
      <c r="BV120" t="s">
        <v>140</v>
      </c>
      <c r="BW120" t="s">
        <v>140</v>
      </c>
      <c r="BX120" t="s">
        <v>140</v>
      </c>
      <c r="BY120" t="s">
        <v>140</v>
      </c>
      <c r="BZ120" t="s">
        <v>140</v>
      </c>
      <c r="CA120" t="s">
        <v>140</v>
      </c>
      <c r="CB120" t="s">
        <v>140</v>
      </c>
      <c r="CC120" t="s">
        <v>140</v>
      </c>
      <c r="CD120" t="s">
        <v>140</v>
      </c>
      <c r="CE120" t="s">
        <v>140</v>
      </c>
      <c r="CF120" t="s">
        <v>140</v>
      </c>
      <c r="CG120" t="s">
        <v>140</v>
      </c>
      <c r="CH120" t="s">
        <v>140</v>
      </c>
      <c r="CI120" t="s">
        <v>140</v>
      </c>
      <c r="CJ120" t="s">
        <v>140</v>
      </c>
      <c r="CK120" t="s">
        <v>140</v>
      </c>
      <c r="CL120" t="s">
        <v>140</v>
      </c>
      <c r="CM120" t="s">
        <v>140</v>
      </c>
      <c r="CN120" t="s">
        <v>140</v>
      </c>
      <c r="CO120" t="s">
        <v>140</v>
      </c>
      <c r="CP120" t="s">
        <v>140</v>
      </c>
      <c r="CQ120" t="s">
        <v>140</v>
      </c>
      <c r="CR120" t="s">
        <v>140</v>
      </c>
      <c r="CS120" t="s">
        <v>140</v>
      </c>
      <c r="CT120" t="s">
        <v>140</v>
      </c>
      <c r="CU120" t="s">
        <v>140</v>
      </c>
      <c r="CV120" t="s">
        <v>140</v>
      </c>
      <c r="CW120" t="s">
        <v>140</v>
      </c>
      <c r="CX120" t="s">
        <v>140</v>
      </c>
      <c r="CY120" t="s">
        <v>140</v>
      </c>
      <c r="CZ120" t="s">
        <v>140</v>
      </c>
      <c r="DA120" t="s">
        <v>140</v>
      </c>
      <c r="DB120" t="s">
        <v>140</v>
      </c>
      <c r="DC120" s="1">
        <v>3988</v>
      </c>
      <c r="DD120" s="1">
        <v>3988</v>
      </c>
      <c r="DE120" s="1">
        <v>3988</v>
      </c>
      <c r="DF120" s="1">
        <v>3988</v>
      </c>
      <c r="DG120" s="1">
        <v>0</v>
      </c>
      <c r="DH120" s="1">
        <v>281</v>
      </c>
      <c r="DI120" s="1">
        <v>3988</v>
      </c>
      <c r="DJ120" s="1">
        <v>281</v>
      </c>
      <c r="DK120" s="1">
        <v>321</v>
      </c>
      <c r="DL120" s="1">
        <v>331</v>
      </c>
      <c r="DM120" s="1">
        <v>331</v>
      </c>
      <c r="DN120" s="1">
        <v>331</v>
      </c>
      <c r="DO120" s="1">
        <v>331</v>
      </c>
      <c r="DP120" s="1">
        <v>331</v>
      </c>
      <c r="DQ120" s="1">
        <v>388</v>
      </c>
      <c r="DR120" s="1">
        <v>384</v>
      </c>
      <c r="DS120" s="1">
        <v>482</v>
      </c>
      <c r="DT120" s="1">
        <v>487</v>
      </c>
      <c r="DU120" s="1">
        <v>476</v>
      </c>
      <c r="DV120" s="1">
        <v>466</v>
      </c>
      <c r="DW120" s="1">
        <v>487</v>
      </c>
      <c r="DX120" s="1">
        <v>416</v>
      </c>
      <c r="DY120" s="1">
        <v>399</v>
      </c>
      <c r="DZ120" s="1">
        <v>433</v>
      </c>
      <c r="EA120" s="1">
        <v>426</v>
      </c>
      <c r="EB120" s="1">
        <v>424</v>
      </c>
      <c r="EC120" s="1">
        <v>386</v>
      </c>
      <c r="ED120" s="1">
        <v>392</v>
      </c>
    </row>
    <row r="121" spans="1:134" x14ac:dyDescent="0.25">
      <c r="A121" t="s">
        <v>239</v>
      </c>
      <c r="B121" s="1">
        <v>67352</v>
      </c>
      <c r="C121" s="1">
        <v>76863</v>
      </c>
      <c r="D121" s="1">
        <v>95534</v>
      </c>
      <c r="E121" s="1">
        <v>109968</v>
      </c>
      <c r="F121" s="1">
        <v>138861</v>
      </c>
      <c r="G121" s="1">
        <v>158865</v>
      </c>
      <c r="H121" s="1">
        <v>174122</v>
      </c>
      <c r="I121" s="1">
        <v>203371</v>
      </c>
      <c r="J121" s="1">
        <v>218538</v>
      </c>
      <c r="K121" s="1">
        <v>196201</v>
      </c>
      <c r="L121" s="1">
        <v>202034</v>
      </c>
      <c r="M121" s="1">
        <v>202034</v>
      </c>
      <c r="N121" t="s">
        <v>141</v>
      </c>
      <c r="O121" t="s">
        <v>140</v>
      </c>
      <c r="P121" t="s">
        <v>140</v>
      </c>
      <c r="Q121" t="s">
        <v>140</v>
      </c>
      <c r="R121" t="s">
        <v>140</v>
      </c>
      <c r="S121" t="s">
        <v>140</v>
      </c>
      <c r="T121" t="s">
        <v>140</v>
      </c>
      <c r="U121" t="s">
        <v>140</v>
      </c>
      <c r="V121" t="s">
        <v>140</v>
      </c>
      <c r="W121" t="s">
        <v>140</v>
      </c>
      <c r="X121" t="s">
        <v>140</v>
      </c>
      <c r="Y121" t="s">
        <v>140</v>
      </c>
      <c r="Z121" t="s">
        <v>140</v>
      </c>
      <c r="AA121" t="s">
        <v>140</v>
      </c>
      <c r="AB121" t="s">
        <v>140</v>
      </c>
      <c r="AC121" t="s">
        <v>140</v>
      </c>
      <c r="AD121" t="s">
        <v>140</v>
      </c>
      <c r="AE121" t="s">
        <v>140</v>
      </c>
      <c r="AF121" t="s">
        <v>140</v>
      </c>
      <c r="AG121" t="s">
        <v>140</v>
      </c>
      <c r="AH121" t="s">
        <v>140</v>
      </c>
      <c r="AI121" t="s">
        <v>140</v>
      </c>
      <c r="AJ121" t="s">
        <v>140</v>
      </c>
      <c r="AK121" t="s">
        <v>140</v>
      </c>
      <c r="AL121" t="s">
        <v>140</v>
      </c>
      <c r="AM121" t="s">
        <v>140</v>
      </c>
      <c r="AN121" t="s">
        <v>140</v>
      </c>
      <c r="AO121" t="s">
        <v>140</v>
      </c>
      <c r="AP121" t="s">
        <v>140</v>
      </c>
      <c r="AQ121" t="s">
        <v>140</v>
      </c>
      <c r="AR121" t="s">
        <v>140</v>
      </c>
      <c r="AS121" t="s">
        <v>140</v>
      </c>
      <c r="AT121" t="s">
        <v>140</v>
      </c>
      <c r="AU121" t="s">
        <v>140</v>
      </c>
      <c r="AV121" t="s">
        <v>140</v>
      </c>
      <c r="AW121" t="s">
        <v>140</v>
      </c>
      <c r="AX121" t="s">
        <v>140</v>
      </c>
      <c r="AY121" t="s">
        <v>140</v>
      </c>
      <c r="AZ121" t="s">
        <v>140</v>
      </c>
      <c r="BA121" t="s">
        <v>140</v>
      </c>
      <c r="BB121" t="s">
        <v>140</v>
      </c>
      <c r="BC121" t="s">
        <v>140</v>
      </c>
      <c r="BD121" t="s">
        <v>140</v>
      </c>
      <c r="BE121" t="s">
        <v>140</v>
      </c>
      <c r="BF121" t="s">
        <v>140</v>
      </c>
      <c r="BG121" t="s">
        <v>140</v>
      </c>
      <c r="BH121" t="s">
        <v>140</v>
      </c>
      <c r="BI121" t="s">
        <v>140</v>
      </c>
      <c r="BJ121" t="s">
        <v>140</v>
      </c>
      <c r="BK121" t="s">
        <v>140</v>
      </c>
      <c r="BL121" t="s">
        <v>140</v>
      </c>
      <c r="BM121" t="s">
        <v>140</v>
      </c>
      <c r="BN121" t="s">
        <v>140</v>
      </c>
      <c r="BO121" t="s">
        <v>140</v>
      </c>
      <c r="BP121" t="s">
        <v>140</v>
      </c>
      <c r="BQ121" t="s">
        <v>140</v>
      </c>
      <c r="BR121" t="s">
        <v>140</v>
      </c>
      <c r="BS121" t="s">
        <v>140</v>
      </c>
      <c r="BT121" t="s">
        <v>140</v>
      </c>
      <c r="BU121" t="s">
        <v>140</v>
      </c>
      <c r="BV121" t="s">
        <v>140</v>
      </c>
      <c r="BW121" t="s">
        <v>140</v>
      </c>
      <c r="BX121" t="s">
        <v>140</v>
      </c>
      <c r="BY121" t="s">
        <v>140</v>
      </c>
      <c r="BZ121" t="s">
        <v>140</v>
      </c>
      <c r="CA121" t="s">
        <v>140</v>
      </c>
      <c r="CB121" t="s">
        <v>140</v>
      </c>
      <c r="CC121" t="s">
        <v>140</v>
      </c>
      <c r="CD121" t="s">
        <v>140</v>
      </c>
      <c r="CE121" t="s">
        <v>140</v>
      </c>
      <c r="CF121" t="s">
        <v>140</v>
      </c>
      <c r="CG121" t="s">
        <v>140</v>
      </c>
      <c r="CH121" t="s">
        <v>140</v>
      </c>
      <c r="CI121" t="s">
        <v>140</v>
      </c>
      <c r="CJ121" t="s">
        <v>140</v>
      </c>
      <c r="CK121" t="s">
        <v>140</v>
      </c>
      <c r="CL121" t="s">
        <v>140</v>
      </c>
      <c r="CM121" t="s">
        <v>140</v>
      </c>
      <c r="CN121" t="s">
        <v>140</v>
      </c>
      <c r="CO121" t="s">
        <v>140</v>
      </c>
      <c r="CP121" t="s">
        <v>140</v>
      </c>
      <c r="CQ121" t="s">
        <v>140</v>
      </c>
      <c r="CR121" t="s">
        <v>140</v>
      </c>
      <c r="CS121" t="s">
        <v>140</v>
      </c>
      <c r="CT121" t="s">
        <v>140</v>
      </c>
      <c r="CU121" t="s">
        <v>140</v>
      </c>
      <c r="CV121" t="s">
        <v>140</v>
      </c>
      <c r="CW121" t="s">
        <v>140</v>
      </c>
      <c r="CX121" t="s">
        <v>140</v>
      </c>
      <c r="CY121" t="s">
        <v>140</v>
      </c>
      <c r="CZ121" t="s">
        <v>140</v>
      </c>
      <c r="DA121" t="s">
        <v>140</v>
      </c>
      <c r="DB121" t="s">
        <v>140</v>
      </c>
      <c r="DC121" s="1">
        <v>35772</v>
      </c>
      <c r="DD121" s="1">
        <v>39557</v>
      </c>
      <c r="DE121" s="1">
        <v>44307</v>
      </c>
      <c r="DF121" s="1">
        <v>43255</v>
      </c>
      <c r="DG121" s="1">
        <v>0</v>
      </c>
      <c r="DH121" s="1">
        <v>53781</v>
      </c>
      <c r="DI121" s="1">
        <v>57410</v>
      </c>
      <c r="DJ121" s="1">
        <v>67352</v>
      </c>
      <c r="DK121" s="1">
        <v>72244</v>
      </c>
      <c r="DL121" s="1">
        <v>76863</v>
      </c>
      <c r="DM121" s="1">
        <v>84055</v>
      </c>
      <c r="DN121" s="1">
        <v>95534</v>
      </c>
      <c r="DO121" s="1">
        <v>101072</v>
      </c>
      <c r="DP121" s="1">
        <v>109968</v>
      </c>
      <c r="DQ121" s="1">
        <v>123962</v>
      </c>
      <c r="DR121" s="1">
        <v>138861</v>
      </c>
      <c r="DS121" s="1">
        <v>154579</v>
      </c>
      <c r="DT121" s="1">
        <v>158865</v>
      </c>
      <c r="DU121" s="1">
        <v>167703</v>
      </c>
      <c r="DV121" s="1">
        <v>174122</v>
      </c>
      <c r="DW121" s="1">
        <v>189901</v>
      </c>
      <c r="DX121" s="1">
        <v>203371</v>
      </c>
      <c r="DY121" s="1">
        <v>210015</v>
      </c>
      <c r="DZ121" s="1">
        <v>218538</v>
      </c>
      <c r="EA121" s="1">
        <v>222561</v>
      </c>
      <c r="EB121" s="1">
        <v>196201</v>
      </c>
      <c r="EC121" s="1">
        <v>198156</v>
      </c>
      <c r="ED121" s="1">
        <v>202034</v>
      </c>
    </row>
    <row r="122" spans="1:134" x14ac:dyDescent="0.25">
      <c r="A122" t="s">
        <v>240</v>
      </c>
      <c r="B122" s="1">
        <v>67709</v>
      </c>
      <c r="C122" s="1">
        <v>77270</v>
      </c>
      <c r="D122" s="1">
        <v>95938</v>
      </c>
      <c r="E122" s="1">
        <v>110369</v>
      </c>
      <c r="F122" s="1">
        <v>139317</v>
      </c>
      <c r="G122" s="1">
        <v>159428</v>
      </c>
      <c r="H122" s="1">
        <v>174675</v>
      </c>
      <c r="I122" s="1">
        <v>203902</v>
      </c>
      <c r="J122" s="1">
        <v>219109</v>
      </c>
      <c r="K122" s="1">
        <v>198014</v>
      </c>
      <c r="L122" s="1">
        <v>203727</v>
      </c>
      <c r="M122" s="1">
        <v>203727</v>
      </c>
      <c r="N122" t="s">
        <v>141</v>
      </c>
      <c r="O122" t="s">
        <v>140</v>
      </c>
      <c r="P122" t="s">
        <v>140</v>
      </c>
      <c r="Q122" t="s">
        <v>140</v>
      </c>
      <c r="R122" t="s">
        <v>140</v>
      </c>
      <c r="S122" t="s">
        <v>140</v>
      </c>
      <c r="T122" t="s">
        <v>140</v>
      </c>
      <c r="U122" t="s">
        <v>140</v>
      </c>
      <c r="V122" t="s">
        <v>140</v>
      </c>
      <c r="W122" t="s">
        <v>140</v>
      </c>
      <c r="X122" t="s">
        <v>140</v>
      </c>
      <c r="Y122" t="s">
        <v>140</v>
      </c>
      <c r="Z122" t="s">
        <v>140</v>
      </c>
      <c r="AA122" t="s">
        <v>140</v>
      </c>
      <c r="AB122" t="s">
        <v>140</v>
      </c>
      <c r="AC122" t="s">
        <v>140</v>
      </c>
      <c r="AD122" t="s">
        <v>140</v>
      </c>
      <c r="AE122" t="s">
        <v>140</v>
      </c>
      <c r="AF122" t="s">
        <v>140</v>
      </c>
      <c r="AG122" t="s">
        <v>140</v>
      </c>
      <c r="AH122" t="s">
        <v>140</v>
      </c>
      <c r="AI122" t="s">
        <v>140</v>
      </c>
      <c r="AJ122" t="s">
        <v>140</v>
      </c>
      <c r="AK122" t="s">
        <v>140</v>
      </c>
      <c r="AL122" t="s">
        <v>140</v>
      </c>
      <c r="AM122" t="s">
        <v>140</v>
      </c>
      <c r="AN122" t="s">
        <v>140</v>
      </c>
      <c r="AO122" t="s">
        <v>140</v>
      </c>
      <c r="AP122" t="s">
        <v>140</v>
      </c>
      <c r="AQ122" t="s">
        <v>140</v>
      </c>
      <c r="AR122" t="s">
        <v>140</v>
      </c>
      <c r="AS122" t="s">
        <v>140</v>
      </c>
      <c r="AT122" t="s">
        <v>140</v>
      </c>
      <c r="AU122" t="s">
        <v>140</v>
      </c>
      <c r="AV122" t="s">
        <v>140</v>
      </c>
      <c r="AW122" t="s">
        <v>140</v>
      </c>
      <c r="AX122" t="s">
        <v>140</v>
      </c>
      <c r="AY122" t="s">
        <v>140</v>
      </c>
      <c r="AZ122" t="s">
        <v>140</v>
      </c>
      <c r="BA122" t="s">
        <v>140</v>
      </c>
      <c r="BB122" t="s">
        <v>140</v>
      </c>
      <c r="BC122" t="s">
        <v>140</v>
      </c>
      <c r="BD122" t="s">
        <v>140</v>
      </c>
      <c r="BE122" t="s">
        <v>140</v>
      </c>
      <c r="BF122" t="s">
        <v>140</v>
      </c>
      <c r="BG122" t="s">
        <v>140</v>
      </c>
      <c r="BH122" t="s">
        <v>140</v>
      </c>
      <c r="BI122" t="s">
        <v>140</v>
      </c>
      <c r="BJ122" t="s">
        <v>140</v>
      </c>
      <c r="BK122" t="s">
        <v>140</v>
      </c>
      <c r="BL122" t="s">
        <v>140</v>
      </c>
      <c r="BM122" t="s">
        <v>140</v>
      </c>
      <c r="BN122" t="s">
        <v>140</v>
      </c>
      <c r="BO122" t="s">
        <v>140</v>
      </c>
      <c r="BP122" t="s">
        <v>140</v>
      </c>
      <c r="BQ122" t="s">
        <v>140</v>
      </c>
      <c r="BR122" t="s">
        <v>140</v>
      </c>
      <c r="BS122" t="s">
        <v>140</v>
      </c>
      <c r="BT122" t="s">
        <v>140</v>
      </c>
      <c r="BU122" t="s">
        <v>140</v>
      </c>
      <c r="BV122" t="s">
        <v>140</v>
      </c>
      <c r="BW122" t="s">
        <v>140</v>
      </c>
      <c r="BX122" t="s">
        <v>140</v>
      </c>
      <c r="BY122" t="s">
        <v>140</v>
      </c>
      <c r="BZ122" t="s">
        <v>140</v>
      </c>
      <c r="CA122" t="s">
        <v>140</v>
      </c>
      <c r="CB122" t="s">
        <v>140</v>
      </c>
      <c r="CC122" t="s">
        <v>140</v>
      </c>
      <c r="CD122" t="s">
        <v>140</v>
      </c>
      <c r="CE122" t="s">
        <v>140</v>
      </c>
      <c r="CF122" t="s">
        <v>140</v>
      </c>
      <c r="CG122" t="s">
        <v>140</v>
      </c>
      <c r="CH122" t="s">
        <v>140</v>
      </c>
      <c r="CI122" t="s">
        <v>140</v>
      </c>
      <c r="CJ122" t="s">
        <v>140</v>
      </c>
      <c r="CK122" t="s">
        <v>140</v>
      </c>
      <c r="CL122" t="s">
        <v>140</v>
      </c>
      <c r="CM122" t="s">
        <v>140</v>
      </c>
      <c r="CN122" t="s">
        <v>140</v>
      </c>
      <c r="CO122" t="s">
        <v>140</v>
      </c>
      <c r="CP122" t="s">
        <v>140</v>
      </c>
      <c r="CQ122" t="s">
        <v>140</v>
      </c>
      <c r="CR122" t="s">
        <v>140</v>
      </c>
      <c r="CS122" t="s">
        <v>140</v>
      </c>
      <c r="CT122" t="s">
        <v>140</v>
      </c>
      <c r="CU122" t="s">
        <v>140</v>
      </c>
      <c r="CV122" t="s">
        <v>140</v>
      </c>
      <c r="CW122" t="s">
        <v>140</v>
      </c>
      <c r="CX122" t="s">
        <v>140</v>
      </c>
      <c r="CY122" t="s">
        <v>140</v>
      </c>
      <c r="CZ122" t="s">
        <v>140</v>
      </c>
      <c r="DA122" t="s">
        <v>140</v>
      </c>
      <c r="DB122" t="s">
        <v>140</v>
      </c>
      <c r="DC122" s="1">
        <v>39792</v>
      </c>
      <c r="DD122" s="1">
        <v>43597</v>
      </c>
      <c r="DE122" s="1">
        <v>48341</v>
      </c>
      <c r="DF122" s="1">
        <v>47308</v>
      </c>
      <c r="DG122" s="1">
        <v>0</v>
      </c>
      <c r="DH122" s="1">
        <v>54148</v>
      </c>
      <c r="DI122" s="1">
        <v>61472</v>
      </c>
      <c r="DJ122" s="1">
        <v>67709</v>
      </c>
      <c r="DK122" s="1">
        <v>72638</v>
      </c>
      <c r="DL122" s="1">
        <v>77270</v>
      </c>
      <c r="DM122" s="1">
        <v>84456</v>
      </c>
      <c r="DN122" s="1">
        <v>95938</v>
      </c>
      <c r="DO122" s="1">
        <v>101471</v>
      </c>
      <c r="DP122" s="1">
        <v>110369</v>
      </c>
      <c r="DQ122" s="1">
        <v>124423</v>
      </c>
      <c r="DR122" s="1">
        <v>139317</v>
      </c>
      <c r="DS122" s="1">
        <v>155126</v>
      </c>
      <c r="DT122" s="1">
        <v>159428</v>
      </c>
      <c r="DU122" s="1">
        <v>168257</v>
      </c>
      <c r="DV122" s="1">
        <v>174675</v>
      </c>
      <c r="DW122" s="1">
        <v>190478</v>
      </c>
      <c r="DX122" s="1">
        <v>203902</v>
      </c>
      <c r="DY122" s="1">
        <v>210526</v>
      </c>
      <c r="DZ122" s="1">
        <v>219109</v>
      </c>
      <c r="EA122" s="1">
        <v>224399</v>
      </c>
      <c r="EB122" s="1">
        <v>198014</v>
      </c>
      <c r="EC122" s="1">
        <v>199899</v>
      </c>
      <c r="ED122" s="1">
        <v>203727</v>
      </c>
    </row>
    <row r="123" spans="1:134" x14ac:dyDescent="0.25">
      <c r="A123" t="s">
        <v>241</v>
      </c>
      <c r="B123" s="1">
        <v>68754</v>
      </c>
      <c r="C123" s="1">
        <v>79225</v>
      </c>
      <c r="D123" s="1">
        <v>99423</v>
      </c>
      <c r="E123" s="1">
        <v>113466</v>
      </c>
      <c r="F123" s="1">
        <v>143144</v>
      </c>
      <c r="G123" s="1">
        <v>163452</v>
      </c>
      <c r="H123" s="1">
        <v>175940</v>
      </c>
      <c r="I123" s="1">
        <v>216404</v>
      </c>
      <c r="J123" s="1">
        <v>226937</v>
      </c>
      <c r="K123" s="1">
        <v>207619</v>
      </c>
      <c r="L123" s="1">
        <v>209885</v>
      </c>
      <c r="M123" s="1">
        <v>209885</v>
      </c>
      <c r="N123" t="s">
        <v>141</v>
      </c>
      <c r="O123" t="s">
        <v>140</v>
      </c>
      <c r="P123" t="s">
        <v>140</v>
      </c>
      <c r="Q123" t="s">
        <v>140</v>
      </c>
      <c r="R123" t="s">
        <v>140</v>
      </c>
      <c r="S123" t="s">
        <v>140</v>
      </c>
      <c r="T123" t="s">
        <v>140</v>
      </c>
      <c r="U123" t="s">
        <v>140</v>
      </c>
      <c r="V123" t="s">
        <v>140</v>
      </c>
      <c r="W123" t="s">
        <v>140</v>
      </c>
      <c r="X123" t="s">
        <v>140</v>
      </c>
      <c r="Y123" t="s">
        <v>140</v>
      </c>
      <c r="Z123" t="s">
        <v>140</v>
      </c>
      <c r="AA123" t="s">
        <v>140</v>
      </c>
      <c r="AB123" t="s">
        <v>140</v>
      </c>
      <c r="AC123" t="s">
        <v>140</v>
      </c>
      <c r="AD123" t="s">
        <v>140</v>
      </c>
      <c r="AE123" t="s">
        <v>140</v>
      </c>
      <c r="AF123" t="s">
        <v>140</v>
      </c>
      <c r="AG123" t="s">
        <v>140</v>
      </c>
      <c r="AH123" t="s">
        <v>140</v>
      </c>
      <c r="AI123" t="s">
        <v>140</v>
      </c>
      <c r="AJ123" t="s">
        <v>140</v>
      </c>
      <c r="AK123" t="s">
        <v>140</v>
      </c>
      <c r="AL123" t="s">
        <v>140</v>
      </c>
      <c r="AM123" t="s">
        <v>140</v>
      </c>
      <c r="AN123" t="s">
        <v>140</v>
      </c>
      <c r="AO123" t="s">
        <v>140</v>
      </c>
      <c r="AP123" t="s">
        <v>140</v>
      </c>
      <c r="AQ123" t="s">
        <v>140</v>
      </c>
      <c r="AR123" t="s">
        <v>140</v>
      </c>
      <c r="AS123" t="s">
        <v>140</v>
      </c>
      <c r="AT123" t="s">
        <v>140</v>
      </c>
      <c r="AU123" t="s">
        <v>140</v>
      </c>
      <c r="AV123" t="s">
        <v>140</v>
      </c>
      <c r="AW123" t="s">
        <v>140</v>
      </c>
      <c r="AX123" t="s">
        <v>140</v>
      </c>
      <c r="AY123" t="s">
        <v>140</v>
      </c>
      <c r="AZ123" t="s">
        <v>140</v>
      </c>
      <c r="BA123" t="s">
        <v>140</v>
      </c>
      <c r="BB123" t="s">
        <v>140</v>
      </c>
      <c r="BC123" t="s">
        <v>140</v>
      </c>
      <c r="BD123" t="s">
        <v>140</v>
      </c>
      <c r="BE123" t="s">
        <v>140</v>
      </c>
      <c r="BF123" t="s">
        <v>140</v>
      </c>
      <c r="BG123" t="s">
        <v>140</v>
      </c>
      <c r="BH123" t="s">
        <v>140</v>
      </c>
      <c r="BI123" t="s">
        <v>140</v>
      </c>
      <c r="BJ123" t="s">
        <v>140</v>
      </c>
      <c r="BK123" t="s">
        <v>140</v>
      </c>
      <c r="BL123" t="s">
        <v>140</v>
      </c>
      <c r="BM123" t="s">
        <v>140</v>
      </c>
      <c r="BN123" t="s">
        <v>140</v>
      </c>
      <c r="BO123" t="s">
        <v>140</v>
      </c>
      <c r="BP123" t="s">
        <v>140</v>
      </c>
      <c r="BQ123" t="s">
        <v>140</v>
      </c>
      <c r="BR123" t="s">
        <v>140</v>
      </c>
      <c r="BS123" t="s">
        <v>140</v>
      </c>
      <c r="BT123" t="s">
        <v>140</v>
      </c>
      <c r="BU123" t="s">
        <v>140</v>
      </c>
      <c r="BV123" t="s">
        <v>140</v>
      </c>
      <c r="BW123" t="s">
        <v>140</v>
      </c>
      <c r="BX123" t="s">
        <v>140</v>
      </c>
      <c r="BY123" t="s">
        <v>140</v>
      </c>
      <c r="BZ123" t="s">
        <v>140</v>
      </c>
      <c r="CA123" t="s">
        <v>140</v>
      </c>
      <c r="CB123" t="s">
        <v>140</v>
      </c>
      <c r="CC123" t="s">
        <v>140</v>
      </c>
      <c r="CD123" t="s">
        <v>140</v>
      </c>
      <c r="CE123" t="s">
        <v>140</v>
      </c>
      <c r="CF123" t="s">
        <v>140</v>
      </c>
      <c r="CG123" t="s">
        <v>140</v>
      </c>
      <c r="CH123" t="s">
        <v>140</v>
      </c>
      <c r="CI123" t="s">
        <v>140</v>
      </c>
      <c r="CJ123" t="s">
        <v>140</v>
      </c>
      <c r="CK123" t="s">
        <v>140</v>
      </c>
      <c r="CL123" t="s">
        <v>140</v>
      </c>
      <c r="CM123" t="s">
        <v>140</v>
      </c>
      <c r="CN123" t="s">
        <v>140</v>
      </c>
      <c r="CO123" t="s">
        <v>140</v>
      </c>
      <c r="CP123" t="s">
        <v>140</v>
      </c>
      <c r="CQ123" t="s">
        <v>140</v>
      </c>
      <c r="CR123" t="s">
        <v>140</v>
      </c>
      <c r="CS123" t="s">
        <v>140</v>
      </c>
      <c r="CT123" t="s">
        <v>140</v>
      </c>
      <c r="CU123" t="s">
        <v>140</v>
      </c>
      <c r="CV123" t="s">
        <v>140</v>
      </c>
      <c r="CW123" t="s">
        <v>140</v>
      </c>
      <c r="CX123" t="s">
        <v>140</v>
      </c>
      <c r="CY123" t="s">
        <v>140</v>
      </c>
      <c r="CZ123" t="s">
        <v>140</v>
      </c>
      <c r="DA123" t="s">
        <v>140</v>
      </c>
      <c r="DB123" t="s">
        <v>140</v>
      </c>
      <c r="DC123" s="1">
        <v>40691</v>
      </c>
      <c r="DD123" s="1">
        <v>45235</v>
      </c>
      <c r="DE123" s="1">
        <v>50348</v>
      </c>
      <c r="DF123" s="1">
        <v>48680</v>
      </c>
      <c r="DG123" s="1">
        <v>0</v>
      </c>
      <c r="DH123" s="1">
        <v>55224</v>
      </c>
      <c r="DI123" s="1">
        <v>62567</v>
      </c>
      <c r="DJ123" s="1">
        <v>68754</v>
      </c>
      <c r="DK123" s="1">
        <v>74968</v>
      </c>
      <c r="DL123" s="1">
        <v>79225</v>
      </c>
      <c r="DM123" s="1">
        <v>87469</v>
      </c>
      <c r="DN123" s="1">
        <v>99423</v>
      </c>
      <c r="DO123" s="1">
        <v>104294</v>
      </c>
      <c r="DP123" s="1">
        <v>113466</v>
      </c>
      <c r="DQ123" s="1">
        <v>129932</v>
      </c>
      <c r="DR123" s="1">
        <v>143144</v>
      </c>
      <c r="DS123" s="1">
        <v>157405</v>
      </c>
      <c r="DT123" s="1">
        <v>163452</v>
      </c>
      <c r="DU123" s="1">
        <v>169299</v>
      </c>
      <c r="DV123" s="1">
        <v>175940</v>
      </c>
      <c r="DW123" s="1">
        <v>191818</v>
      </c>
      <c r="DX123" s="1">
        <v>216404</v>
      </c>
      <c r="DY123" s="1">
        <v>215269</v>
      </c>
      <c r="DZ123" s="1">
        <v>226937</v>
      </c>
      <c r="EA123" s="1">
        <v>231902</v>
      </c>
      <c r="EB123" s="1">
        <v>207619</v>
      </c>
      <c r="EC123" s="1">
        <v>203186</v>
      </c>
      <c r="ED123" s="1">
        <v>209885</v>
      </c>
    </row>
    <row r="124" spans="1:134" x14ac:dyDescent="0.25">
      <c r="A124" t="s">
        <v>242</v>
      </c>
      <c r="B124" s="1">
        <v>1026</v>
      </c>
      <c r="C124" s="1">
        <v>74</v>
      </c>
      <c r="D124" s="1">
        <v>58</v>
      </c>
      <c r="E124" s="1">
        <v>17</v>
      </c>
      <c r="F124" s="1">
        <v>28</v>
      </c>
      <c r="G124" s="1">
        <v>84</v>
      </c>
      <c r="H124" s="1">
        <v>175</v>
      </c>
      <c r="I124" s="1">
        <v>157</v>
      </c>
      <c r="J124" s="1">
        <v>192</v>
      </c>
      <c r="K124" s="1">
        <v>790</v>
      </c>
      <c r="L124" s="1">
        <v>58</v>
      </c>
      <c r="M124" s="1">
        <v>58</v>
      </c>
      <c r="N124" t="s">
        <v>141</v>
      </c>
      <c r="O124" t="s">
        <v>140</v>
      </c>
      <c r="P124" t="s">
        <v>140</v>
      </c>
      <c r="Q124" t="s">
        <v>140</v>
      </c>
      <c r="R124" t="s">
        <v>140</v>
      </c>
      <c r="S124" t="s">
        <v>140</v>
      </c>
      <c r="T124" t="s">
        <v>140</v>
      </c>
      <c r="U124" t="s">
        <v>140</v>
      </c>
      <c r="V124" t="s">
        <v>140</v>
      </c>
      <c r="W124" t="s">
        <v>140</v>
      </c>
      <c r="X124" t="s">
        <v>140</v>
      </c>
      <c r="Y124" t="s">
        <v>140</v>
      </c>
      <c r="Z124" t="s">
        <v>140</v>
      </c>
      <c r="AA124" t="s">
        <v>140</v>
      </c>
      <c r="AB124" t="s">
        <v>140</v>
      </c>
      <c r="AC124" t="s">
        <v>140</v>
      </c>
      <c r="AD124" t="s">
        <v>140</v>
      </c>
      <c r="AE124" t="s">
        <v>140</v>
      </c>
      <c r="AF124" t="s">
        <v>140</v>
      </c>
      <c r="AG124" t="s">
        <v>140</v>
      </c>
      <c r="AH124" t="s">
        <v>140</v>
      </c>
      <c r="AI124" t="s">
        <v>140</v>
      </c>
      <c r="AJ124" t="s">
        <v>140</v>
      </c>
      <c r="AK124" t="s">
        <v>140</v>
      </c>
      <c r="AL124" t="s">
        <v>140</v>
      </c>
      <c r="AM124" t="s">
        <v>140</v>
      </c>
      <c r="AN124" t="s">
        <v>140</v>
      </c>
      <c r="AO124" t="s">
        <v>140</v>
      </c>
      <c r="AP124" t="s">
        <v>140</v>
      </c>
      <c r="AQ124" t="s">
        <v>140</v>
      </c>
      <c r="AR124" t="s">
        <v>140</v>
      </c>
      <c r="AS124" t="s">
        <v>140</v>
      </c>
      <c r="AT124" t="s">
        <v>140</v>
      </c>
      <c r="AU124" t="s">
        <v>140</v>
      </c>
      <c r="AV124" t="s">
        <v>140</v>
      </c>
      <c r="AW124" t="s">
        <v>140</v>
      </c>
      <c r="AX124" t="s">
        <v>140</v>
      </c>
      <c r="AY124" t="s">
        <v>140</v>
      </c>
      <c r="AZ124" t="s">
        <v>140</v>
      </c>
      <c r="BA124" t="s">
        <v>140</v>
      </c>
      <c r="BB124" t="s">
        <v>140</v>
      </c>
      <c r="BC124" t="s">
        <v>140</v>
      </c>
      <c r="BD124" t="s">
        <v>140</v>
      </c>
      <c r="BE124" t="s">
        <v>140</v>
      </c>
      <c r="BF124" t="s">
        <v>140</v>
      </c>
      <c r="BG124" t="s">
        <v>140</v>
      </c>
      <c r="BH124" t="s">
        <v>140</v>
      </c>
      <c r="BI124" t="s">
        <v>140</v>
      </c>
      <c r="BJ124" t="s">
        <v>140</v>
      </c>
      <c r="BK124" t="s">
        <v>140</v>
      </c>
      <c r="BL124" t="s">
        <v>140</v>
      </c>
      <c r="BM124" t="s">
        <v>140</v>
      </c>
      <c r="BN124" t="s">
        <v>140</v>
      </c>
      <c r="BO124" t="s">
        <v>140</v>
      </c>
      <c r="BP124" t="s">
        <v>140</v>
      </c>
      <c r="BQ124" t="s">
        <v>140</v>
      </c>
      <c r="BR124" t="s">
        <v>140</v>
      </c>
      <c r="BS124" t="s">
        <v>140</v>
      </c>
      <c r="BT124" t="s">
        <v>140</v>
      </c>
      <c r="BU124" t="s">
        <v>140</v>
      </c>
      <c r="BV124" t="s">
        <v>140</v>
      </c>
      <c r="BW124" t="s">
        <v>140</v>
      </c>
      <c r="BX124" t="s">
        <v>140</v>
      </c>
      <c r="BY124" t="s">
        <v>140</v>
      </c>
      <c r="BZ124" t="s">
        <v>140</v>
      </c>
      <c r="CA124" t="s">
        <v>140</v>
      </c>
      <c r="CB124" t="s">
        <v>140</v>
      </c>
      <c r="CC124" t="s">
        <v>140</v>
      </c>
      <c r="CD124" t="s">
        <v>140</v>
      </c>
      <c r="CE124" t="s">
        <v>140</v>
      </c>
      <c r="CF124" t="s">
        <v>140</v>
      </c>
      <c r="CG124" t="s">
        <v>140</v>
      </c>
      <c r="CH124" t="s">
        <v>140</v>
      </c>
      <c r="CI124" t="s">
        <v>140</v>
      </c>
      <c r="CJ124" t="s">
        <v>140</v>
      </c>
      <c r="CK124" t="s">
        <v>140</v>
      </c>
      <c r="CL124" t="s">
        <v>140</v>
      </c>
      <c r="CM124" t="s">
        <v>140</v>
      </c>
      <c r="CN124" t="s">
        <v>140</v>
      </c>
      <c r="CO124" t="s">
        <v>140</v>
      </c>
      <c r="CP124" t="s">
        <v>140</v>
      </c>
      <c r="CQ124" t="s">
        <v>140</v>
      </c>
      <c r="CR124" t="s">
        <v>140</v>
      </c>
      <c r="CS124" t="s">
        <v>140</v>
      </c>
      <c r="CT124" t="s">
        <v>140</v>
      </c>
      <c r="CU124" t="s">
        <v>140</v>
      </c>
      <c r="CV124" t="s">
        <v>140</v>
      </c>
      <c r="CW124" t="s">
        <v>140</v>
      </c>
      <c r="CX124" t="s">
        <v>140</v>
      </c>
      <c r="CY124" t="s">
        <v>140</v>
      </c>
      <c r="CZ124" t="s">
        <v>140</v>
      </c>
      <c r="DA124" t="s">
        <v>140</v>
      </c>
      <c r="DB124" t="s">
        <v>140</v>
      </c>
      <c r="DC124" s="1">
        <v>332</v>
      </c>
      <c r="DD124" s="1">
        <v>738</v>
      </c>
      <c r="DE124" s="1">
        <v>858</v>
      </c>
      <c r="DF124" s="1">
        <v>1125</v>
      </c>
      <c r="DG124" s="1">
        <v>0</v>
      </c>
      <c r="DH124" s="1">
        <v>993</v>
      </c>
      <c r="DI124" s="1">
        <v>888</v>
      </c>
      <c r="DJ124" s="1">
        <v>1026</v>
      </c>
      <c r="DK124" s="1">
        <v>890</v>
      </c>
      <c r="DL124" s="1">
        <v>74</v>
      </c>
      <c r="DM124" s="1">
        <v>1016</v>
      </c>
      <c r="DN124" s="1">
        <v>58</v>
      </c>
      <c r="DO124" s="1">
        <v>31</v>
      </c>
      <c r="DP124" s="1">
        <v>17</v>
      </c>
      <c r="DQ124" s="1">
        <v>46</v>
      </c>
      <c r="DR124" s="1">
        <v>28</v>
      </c>
      <c r="DS124" s="1">
        <v>52</v>
      </c>
      <c r="DT124" s="1">
        <v>84</v>
      </c>
      <c r="DU124" s="1">
        <v>101</v>
      </c>
      <c r="DV124" s="1">
        <v>175</v>
      </c>
      <c r="DW124" s="1">
        <v>145</v>
      </c>
      <c r="DX124" s="1">
        <v>157</v>
      </c>
      <c r="DY124" s="1">
        <v>165</v>
      </c>
      <c r="DZ124" s="1">
        <v>192</v>
      </c>
      <c r="EA124" s="1">
        <v>174</v>
      </c>
      <c r="EB124" s="1">
        <v>790</v>
      </c>
      <c r="EC124" s="1">
        <v>811</v>
      </c>
      <c r="ED124" s="1">
        <v>58</v>
      </c>
    </row>
    <row r="125" spans="1:134" x14ac:dyDescent="0.25">
      <c r="A125" t="s">
        <v>243</v>
      </c>
      <c r="B125" s="1">
        <v>139</v>
      </c>
      <c r="C125" s="1">
        <v>0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  <c r="M125" s="1">
        <v>0</v>
      </c>
      <c r="N125" t="s">
        <v>141</v>
      </c>
      <c r="O125" t="s">
        <v>140</v>
      </c>
      <c r="P125" t="s">
        <v>140</v>
      </c>
      <c r="Q125" t="s">
        <v>140</v>
      </c>
      <c r="R125" t="s">
        <v>140</v>
      </c>
      <c r="S125" t="s">
        <v>140</v>
      </c>
      <c r="T125" t="s">
        <v>140</v>
      </c>
      <c r="U125" t="s">
        <v>140</v>
      </c>
      <c r="V125" t="s">
        <v>140</v>
      </c>
      <c r="W125" t="s">
        <v>140</v>
      </c>
      <c r="X125" t="s">
        <v>140</v>
      </c>
      <c r="Y125" t="s">
        <v>140</v>
      </c>
      <c r="Z125" t="s">
        <v>140</v>
      </c>
      <c r="AA125" t="s">
        <v>140</v>
      </c>
      <c r="AB125" t="s">
        <v>140</v>
      </c>
      <c r="AC125" t="s">
        <v>140</v>
      </c>
      <c r="AD125" t="s">
        <v>140</v>
      </c>
      <c r="AE125" t="s">
        <v>140</v>
      </c>
      <c r="AF125" t="s">
        <v>140</v>
      </c>
      <c r="AG125" t="s">
        <v>140</v>
      </c>
      <c r="AH125" t="s">
        <v>140</v>
      </c>
      <c r="AI125" t="s">
        <v>140</v>
      </c>
      <c r="AJ125" t="s">
        <v>140</v>
      </c>
      <c r="AK125" t="s">
        <v>140</v>
      </c>
      <c r="AL125" t="s">
        <v>140</v>
      </c>
      <c r="AM125" t="s">
        <v>140</v>
      </c>
      <c r="AN125" t="s">
        <v>140</v>
      </c>
      <c r="AO125" t="s">
        <v>140</v>
      </c>
      <c r="AP125" t="s">
        <v>140</v>
      </c>
      <c r="AQ125" t="s">
        <v>140</v>
      </c>
      <c r="AR125" t="s">
        <v>140</v>
      </c>
      <c r="AS125" t="s">
        <v>140</v>
      </c>
      <c r="AT125" t="s">
        <v>140</v>
      </c>
      <c r="AU125" t="s">
        <v>140</v>
      </c>
      <c r="AV125" t="s">
        <v>140</v>
      </c>
      <c r="AW125" t="s">
        <v>140</v>
      </c>
      <c r="AX125" t="s">
        <v>140</v>
      </c>
      <c r="AY125" t="s">
        <v>140</v>
      </c>
      <c r="AZ125" t="s">
        <v>140</v>
      </c>
      <c r="BA125" t="s">
        <v>140</v>
      </c>
      <c r="BB125" t="s">
        <v>140</v>
      </c>
      <c r="BC125" t="s">
        <v>140</v>
      </c>
      <c r="BD125" t="s">
        <v>140</v>
      </c>
      <c r="BE125" t="s">
        <v>140</v>
      </c>
      <c r="BF125" t="s">
        <v>140</v>
      </c>
      <c r="BG125" t="s">
        <v>140</v>
      </c>
      <c r="BH125" t="s">
        <v>140</v>
      </c>
      <c r="BI125" t="s">
        <v>140</v>
      </c>
      <c r="BJ125" t="s">
        <v>140</v>
      </c>
      <c r="BK125" t="s">
        <v>140</v>
      </c>
      <c r="BL125" t="s">
        <v>140</v>
      </c>
      <c r="BM125" t="s">
        <v>140</v>
      </c>
      <c r="BN125" t="s">
        <v>140</v>
      </c>
      <c r="BO125" t="s">
        <v>140</v>
      </c>
      <c r="BP125" t="s">
        <v>140</v>
      </c>
      <c r="BQ125" t="s">
        <v>140</v>
      </c>
      <c r="BR125" t="s">
        <v>140</v>
      </c>
      <c r="BS125" t="s">
        <v>140</v>
      </c>
      <c r="BT125" t="s">
        <v>140</v>
      </c>
      <c r="BU125" t="s">
        <v>140</v>
      </c>
      <c r="BV125" t="s">
        <v>140</v>
      </c>
      <c r="BW125" t="s">
        <v>140</v>
      </c>
      <c r="BX125" t="s">
        <v>140</v>
      </c>
      <c r="BY125" t="s">
        <v>140</v>
      </c>
      <c r="BZ125" t="s">
        <v>140</v>
      </c>
      <c r="CA125" t="s">
        <v>140</v>
      </c>
      <c r="CB125" t="s">
        <v>140</v>
      </c>
      <c r="CC125" t="s">
        <v>140</v>
      </c>
      <c r="CD125" t="s">
        <v>140</v>
      </c>
      <c r="CE125" t="s">
        <v>140</v>
      </c>
      <c r="CF125" t="s">
        <v>140</v>
      </c>
      <c r="CG125" t="s">
        <v>140</v>
      </c>
      <c r="CH125" t="s">
        <v>140</v>
      </c>
      <c r="CI125" t="s">
        <v>140</v>
      </c>
      <c r="CJ125" t="s">
        <v>140</v>
      </c>
      <c r="CK125" t="s">
        <v>140</v>
      </c>
      <c r="CL125" t="s">
        <v>140</v>
      </c>
      <c r="CM125" t="s">
        <v>140</v>
      </c>
      <c r="CN125" t="s">
        <v>140</v>
      </c>
      <c r="CO125" t="s">
        <v>140</v>
      </c>
      <c r="CP125" t="s">
        <v>140</v>
      </c>
      <c r="CQ125" t="s">
        <v>140</v>
      </c>
      <c r="CR125" t="s">
        <v>140</v>
      </c>
      <c r="CS125" t="s">
        <v>140</v>
      </c>
      <c r="CT125" t="s">
        <v>140</v>
      </c>
      <c r="CU125" t="s">
        <v>140</v>
      </c>
      <c r="CV125" t="s">
        <v>140</v>
      </c>
      <c r="CW125" t="s">
        <v>140</v>
      </c>
      <c r="CX125" t="s">
        <v>140</v>
      </c>
      <c r="CY125" t="s">
        <v>140</v>
      </c>
      <c r="CZ125" t="s">
        <v>140</v>
      </c>
      <c r="DA125" t="s">
        <v>140</v>
      </c>
      <c r="DB125" t="s">
        <v>140</v>
      </c>
      <c r="DC125" s="1">
        <v>0</v>
      </c>
      <c r="DD125" s="1">
        <v>0</v>
      </c>
      <c r="DE125" s="1">
        <v>0</v>
      </c>
      <c r="DF125" s="1">
        <v>0</v>
      </c>
      <c r="DG125" s="1">
        <v>0</v>
      </c>
      <c r="DH125" s="1">
        <v>0</v>
      </c>
      <c r="DI125" s="1">
        <v>249</v>
      </c>
      <c r="DJ125" s="1">
        <v>139</v>
      </c>
      <c r="DK125" s="1">
        <v>0</v>
      </c>
      <c r="DL125" s="1">
        <v>0</v>
      </c>
      <c r="DM125" s="1">
        <v>322</v>
      </c>
      <c r="DN125" s="1">
        <v>0</v>
      </c>
      <c r="DO125" s="1">
        <v>0</v>
      </c>
      <c r="DP125" s="1">
        <v>0</v>
      </c>
      <c r="DQ125" s="1">
        <v>0</v>
      </c>
      <c r="DR125" s="1">
        <v>0</v>
      </c>
      <c r="DS125" s="1">
        <v>0</v>
      </c>
      <c r="DT125" s="1">
        <v>0</v>
      </c>
      <c r="DU125" s="1">
        <v>0</v>
      </c>
      <c r="DV125" s="1">
        <v>0</v>
      </c>
      <c r="DW125" s="1">
        <v>0</v>
      </c>
      <c r="DX125" s="1">
        <v>0</v>
      </c>
      <c r="DY125" s="1">
        <v>0</v>
      </c>
      <c r="DZ125" s="1">
        <v>0</v>
      </c>
      <c r="EA125" s="1">
        <v>0</v>
      </c>
      <c r="EB125" s="1">
        <v>0</v>
      </c>
      <c r="EC125" s="1">
        <v>0</v>
      </c>
      <c r="ED125" s="1">
        <v>0</v>
      </c>
    </row>
    <row r="126" spans="1:134" x14ac:dyDescent="0.25">
      <c r="A126" t="s">
        <v>244</v>
      </c>
      <c r="B126" s="1">
        <v>0</v>
      </c>
      <c r="C126" s="1">
        <v>0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3777</v>
      </c>
      <c r="L126" s="1">
        <v>3844</v>
      </c>
      <c r="M126" s="1">
        <v>3844</v>
      </c>
      <c r="N126" t="s">
        <v>141</v>
      </c>
      <c r="O126" t="s">
        <v>140</v>
      </c>
      <c r="P126" t="s">
        <v>140</v>
      </c>
      <c r="Q126" t="s">
        <v>140</v>
      </c>
      <c r="R126" t="s">
        <v>140</v>
      </c>
      <c r="S126" t="s">
        <v>140</v>
      </c>
      <c r="T126" t="s">
        <v>140</v>
      </c>
      <c r="U126" t="s">
        <v>140</v>
      </c>
      <c r="V126" t="s">
        <v>140</v>
      </c>
      <c r="W126" t="s">
        <v>140</v>
      </c>
      <c r="X126" t="s">
        <v>140</v>
      </c>
      <c r="Y126" t="s">
        <v>140</v>
      </c>
      <c r="Z126" t="s">
        <v>140</v>
      </c>
      <c r="AA126" t="s">
        <v>140</v>
      </c>
      <c r="AB126" t="s">
        <v>140</v>
      </c>
      <c r="AC126" t="s">
        <v>140</v>
      </c>
      <c r="AD126" t="s">
        <v>140</v>
      </c>
      <c r="AE126" t="s">
        <v>140</v>
      </c>
      <c r="AF126" t="s">
        <v>140</v>
      </c>
      <c r="AG126" t="s">
        <v>140</v>
      </c>
      <c r="AH126" t="s">
        <v>140</v>
      </c>
      <c r="AI126" t="s">
        <v>140</v>
      </c>
      <c r="AJ126" t="s">
        <v>140</v>
      </c>
      <c r="AK126" t="s">
        <v>140</v>
      </c>
      <c r="AL126" t="s">
        <v>140</v>
      </c>
      <c r="AM126" t="s">
        <v>140</v>
      </c>
      <c r="AN126" t="s">
        <v>140</v>
      </c>
      <c r="AO126" t="s">
        <v>140</v>
      </c>
      <c r="AP126" t="s">
        <v>140</v>
      </c>
      <c r="AQ126" t="s">
        <v>140</v>
      </c>
      <c r="AR126" t="s">
        <v>140</v>
      </c>
      <c r="AS126" t="s">
        <v>140</v>
      </c>
      <c r="AT126" t="s">
        <v>140</v>
      </c>
      <c r="AU126" t="s">
        <v>140</v>
      </c>
      <c r="AV126" t="s">
        <v>140</v>
      </c>
      <c r="AW126" t="s">
        <v>140</v>
      </c>
      <c r="AX126" t="s">
        <v>140</v>
      </c>
      <c r="AY126" t="s">
        <v>140</v>
      </c>
      <c r="AZ126" t="s">
        <v>140</v>
      </c>
      <c r="BA126" t="s">
        <v>140</v>
      </c>
      <c r="BB126" t="s">
        <v>140</v>
      </c>
      <c r="BC126" t="s">
        <v>140</v>
      </c>
      <c r="BD126" t="s">
        <v>140</v>
      </c>
      <c r="BE126" t="s">
        <v>140</v>
      </c>
      <c r="BF126" t="s">
        <v>140</v>
      </c>
      <c r="BG126" t="s">
        <v>140</v>
      </c>
      <c r="BH126" t="s">
        <v>140</v>
      </c>
      <c r="BI126" t="s">
        <v>140</v>
      </c>
      <c r="BJ126" t="s">
        <v>140</v>
      </c>
      <c r="BK126" t="s">
        <v>140</v>
      </c>
      <c r="BL126" t="s">
        <v>140</v>
      </c>
      <c r="BM126" t="s">
        <v>140</v>
      </c>
      <c r="BN126" t="s">
        <v>140</v>
      </c>
      <c r="BO126" t="s">
        <v>140</v>
      </c>
      <c r="BP126" t="s">
        <v>140</v>
      </c>
      <c r="BQ126" t="s">
        <v>140</v>
      </c>
      <c r="BR126" t="s">
        <v>140</v>
      </c>
      <c r="BS126" t="s">
        <v>140</v>
      </c>
      <c r="BT126" t="s">
        <v>140</v>
      </c>
      <c r="BU126" t="s">
        <v>140</v>
      </c>
      <c r="BV126" t="s">
        <v>140</v>
      </c>
      <c r="BW126" t="s">
        <v>140</v>
      </c>
      <c r="BX126" t="s">
        <v>140</v>
      </c>
      <c r="BY126" t="s">
        <v>140</v>
      </c>
      <c r="BZ126" t="s">
        <v>140</v>
      </c>
      <c r="CA126" t="s">
        <v>140</v>
      </c>
      <c r="CB126" t="s">
        <v>140</v>
      </c>
      <c r="CC126" t="s">
        <v>140</v>
      </c>
      <c r="CD126" t="s">
        <v>140</v>
      </c>
      <c r="CE126" t="s">
        <v>140</v>
      </c>
      <c r="CF126" t="s">
        <v>140</v>
      </c>
      <c r="CG126" t="s">
        <v>140</v>
      </c>
      <c r="CH126" t="s">
        <v>140</v>
      </c>
      <c r="CI126" t="s">
        <v>140</v>
      </c>
      <c r="CJ126" t="s">
        <v>140</v>
      </c>
      <c r="CK126" t="s">
        <v>140</v>
      </c>
      <c r="CL126" t="s">
        <v>140</v>
      </c>
      <c r="CM126" t="s">
        <v>140</v>
      </c>
      <c r="CN126" t="s">
        <v>140</v>
      </c>
      <c r="CO126" t="s">
        <v>140</v>
      </c>
      <c r="CP126" t="s">
        <v>140</v>
      </c>
      <c r="CQ126" t="s">
        <v>140</v>
      </c>
      <c r="CR126" t="s">
        <v>140</v>
      </c>
      <c r="CS126" t="s">
        <v>140</v>
      </c>
      <c r="CT126" t="s">
        <v>140</v>
      </c>
      <c r="CU126" t="s">
        <v>140</v>
      </c>
      <c r="CV126" t="s">
        <v>140</v>
      </c>
      <c r="CW126" t="s">
        <v>140</v>
      </c>
      <c r="CX126" t="s">
        <v>140</v>
      </c>
      <c r="CY126" t="s">
        <v>140</v>
      </c>
      <c r="CZ126" t="s">
        <v>140</v>
      </c>
      <c r="DA126" t="s">
        <v>140</v>
      </c>
      <c r="DB126" t="s">
        <v>140</v>
      </c>
      <c r="DC126" s="1">
        <v>0</v>
      </c>
      <c r="DD126" s="1">
        <v>0</v>
      </c>
      <c r="DE126" s="1">
        <v>0</v>
      </c>
      <c r="DF126" s="1">
        <v>0</v>
      </c>
      <c r="DG126" s="1">
        <v>0</v>
      </c>
      <c r="DH126" s="1">
        <v>39</v>
      </c>
      <c r="DI126" s="1">
        <v>23</v>
      </c>
      <c r="DJ126" s="1">
        <v>0</v>
      </c>
      <c r="DK126" s="1">
        <v>0</v>
      </c>
      <c r="DL126" s="1">
        <v>0</v>
      </c>
      <c r="DM126" s="1">
        <v>0</v>
      </c>
      <c r="DN126" s="1">
        <v>0</v>
      </c>
      <c r="DO126" s="1">
        <v>0</v>
      </c>
      <c r="DP126" s="1">
        <v>0</v>
      </c>
      <c r="DQ126" s="1">
        <v>0</v>
      </c>
      <c r="DR126" s="1">
        <v>0</v>
      </c>
      <c r="DS126" s="1">
        <v>0</v>
      </c>
      <c r="DT126" s="1">
        <v>0</v>
      </c>
      <c r="DU126" s="1">
        <v>0</v>
      </c>
      <c r="DV126" s="1">
        <v>0</v>
      </c>
      <c r="DW126" s="1">
        <v>0</v>
      </c>
      <c r="DX126" s="1">
        <v>0</v>
      </c>
      <c r="DY126" s="1">
        <v>0</v>
      </c>
      <c r="DZ126" s="1">
        <v>0</v>
      </c>
      <c r="EA126" s="1">
        <v>0</v>
      </c>
      <c r="EB126" s="1">
        <v>3777</v>
      </c>
      <c r="EC126" s="1">
        <v>3792</v>
      </c>
      <c r="ED126" s="1">
        <v>3844</v>
      </c>
    </row>
    <row r="127" spans="1:134" x14ac:dyDescent="0.25">
      <c r="A127" t="s">
        <v>245</v>
      </c>
      <c r="B127" s="1">
        <v>0</v>
      </c>
      <c r="C127" s="1">
        <v>0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  <c r="M127" s="1">
        <v>0</v>
      </c>
      <c r="N127" t="s">
        <v>141</v>
      </c>
      <c r="O127" t="s">
        <v>140</v>
      </c>
      <c r="P127" t="s">
        <v>140</v>
      </c>
      <c r="Q127" t="s">
        <v>140</v>
      </c>
      <c r="R127" t="s">
        <v>140</v>
      </c>
      <c r="S127" t="s">
        <v>140</v>
      </c>
      <c r="T127" t="s">
        <v>140</v>
      </c>
      <c r="U127" t="s">
        <v>140</v>
      </c>
      <c r="V127" t="s">
        <v>140</v>
      </c>
      <c r="W127" t="s">
        <v>140</v>
      </c>
      <c r="X127" t="s">
        <v>140</v>
      </c>
      <c r="Y127" t="s">
        <v>140</v>
      </c>
      <c r="Z127" t="s">
        <v>140</v>
      </c>
      <c r="AA127" t="s">
        <v>140</v>
      </c>
      <c r="AB127" t="s">
        <v>140</v>
      </c>
      <c r="AC127" t="s">
        <v>140</v>
      </c>
      <c r="AD127" t="s">
        <v>140</v>
      </c>
      <c r="AE127" t="s">
        <v>140</v>
      </c>
      <c r="AF127" t="s">
        <v>140</v>
      </c>
      <c r="AG127" t="s">
        <v>140</v>
      </c>
      <c r="AH127" t="s">
        <v>140</v>
      </c>
      <c r="AI127" t="s">
        <v>140</v>
      </c>
      <c r="AJ127" t="s">
        <v>140</v>
      </c>
      <c r="AK127" t="s">
        <v>140</v>
      </c>
      <c r="AL127" t="s">
        <v>140</v>
      </c>
      <c r="AM127" t="s">
        <v>140</v>
      </c>
      <c r="AN127" t="s">
        <v>140</v>
      </c>
      <c r="AO127" t="s">
        <v>140</v>
      </c>
      <c r="AP127" t="s">
        <v>140</v>
      </c>
      <c r="AQ127" t="s">
        <v>140</v>
      </c>
      <c r="AR127" t="s">
        <v>140</v>
      </c>
      <c r="AS127" t="s">
        <v>140</v>
      </c>
      <c r="AT127" t="s">
        <v>140</v>
      </c>
      <c r="AU127" t="s">
        <v>140</v>
      </c>
      <c r="AV127" t="s">
        <v>140</v>
      </c>
      <c r="AW127" t="s">
        <v>140</v>
      </c>
      <c r="AX127" t="s">
        <v>140</v>
      </c>
      <c r="AY127" t="s">
        <v>140</v>
      </c>
      <c r="AZ127" t="s">
        <v>140</v>
      </c>
      <c r="BA127" t="s">
        <v>140</v>
      </c>
      <c r="BB127" t="s">
        <v>140</v>
      </c>
      <c r="BC127" t="s">
        <v>140</v>
      </c>
      <c r="BD127" t="s">
        <v>140</v>
      </c>
      <c r="BE127" t="s">
        <v>140</v>
      </c>
      <c r="BF127" t="s">
        <v>140</v>
      </c>
      <c r="BG127" t="s">
        <v>140</v>
      </c>
      <c r="BH127" t="s">
        <v>140</v>
      </c>
      <c r="BI127" t="s">
        <v>140</v>
      </c>
      <c r="BJ127" t="s">
        <v>140</v>
      </c>
      <c r="BK127" t="s">
        <v>140</v>
      </c>
      <c r="BL127" t="s">
        <v>140</v>
      </c>
      <c r="BM127" t="s">
        <v>140</v>
      </c>
      <c r="BN127" t="s">
        <v>140</v>
      </c>
      <c r="BO127" t="s">
        <v>140</v>
      </c>
      <c r="BP127" t="s">
        <v>140</v>
      </c>
      <c r="BQ127" t="s">
        <v>140</v>
      </c>
      <c r="BR127" t="s">
        <v>140</v>
      </c>
      <c r="BS127" t="s">
        <v>140</v>
      </c>
      <c r="BT127" t="s">
        <v>140</v>
      </c>
      <c r="BU127" t="s">
        <v>140</v>
      </c>
      <c r="BV127" t="s">
        <v>140</v>
      </c>
      <c r="BW127" t="s">
        <v>140</v>
      </c>
      <c r="BX127" t="s">
        <v>140</v>
      </c>
      <c r="BY127" t="s">
        <v>140</v>
      </c>
      <c r="BZ127" t="s">
        <v>140</v>
      </c>
      <c r="CA127" t="s">
        <v>140</v>
      </c>
      <c r="CB127" t="s">
        <v>140</v>
      </c>
      <c r="CC127" t="s">
        <v>140</v>
      </c>
      <c r="CD127" t="s">
        <v>140</v>
      </c>
      <c r="CE127" t="s">
        <v>140</v>
      </c>
      <c r="CF127" t="s">
        <v>140</v>
      </c>
      <c r="CG127" t="s">
        <v>140</v>
      </c>
      <c r="CH127" t="s">
        <v>140</v>
      </c>
      <c r="CI127" t="s">
        <v>140</v>
      </c>
      <c r="CJ127" t="s">
        <v>140</v>
      </c>
      <c r="CK127" t="s">
        <v>140</v>
      </c>
      <c r="CL127" t="s">
        <v>140</v>
      </c>
      <c r="CM127" t="s">
        <v>140</v>
      </c>
      <c r="CN127" t="s">
        <v>140</v>
      </c>
      <c r="CO127" t="s">
        <v>140</v>
      </c>
      <c r="CP127" t="s">
        <v>140</v>
      </c>
      <c r="CQ127" t="s">
        <v>140</v>
      </c>
      <c r="CR127" t="s">
        <v>140</v>
      </c>
      <c r="CS127" t="s">
        <v>140</v>
      </c>
      <c r="CT127" t="s">
        <v>140</v>
      </c>
      <c r="CU127" t="s">
        <v>140</v>
      </c>
      <c r="CV127" t="s">
        <v>140</v>
      </c>
      <c r="CW127" t="s">
        <v>140</v>
      </c>
      <c r="CX127" t="s">
        <v>140</v>
      </c>
      <c r="CY127" t="s">
        <v>140</v>
      </c>
      <c r="CZ127" t="s">
        <v>140</v>
      </c>
      <c r="DA127" t="s">
        <v>140</v>
      </c>
      <c r="DB127" t="s">
        <v>140</v>
      </c>
      <c r="DC127" s="1">
        <v>0</v>
      </c>
      <c r="DD127" s="1">
        <v>0</v>
      </c>
      <c r="DE127" s="1">
        <v>0</v>
      </c>
      <c r="DF127" s="1">
        <v>0</v>
      </c>
      <c r="DG127" s="1">
        <v>0</v>
      </c>
      <c r="DH127" s="1">
        <v>0</v>
      </c>
      <c r="DI127" s="1">
        <v>0</v>
      </c>
      <c r="DJ127" s="1">
        <v>0</v>
      </c>
      <c r="DK127" s="1">
        <v>0</v>
      </c>
      <c r="DL127" s="1">
        <v>0</v>
      </c>
      <c r="DM127" s="1">
        <v>0</v>
      </c>
      <c r="DN127" s="1">
        <v>0</v>
      </c>
      <c r="DO127" s="1">
        <v>0</v>
      </c>
      <c r="DP127" s="1">
        <v>0</v>
      </c>
      <c r="DQ127" s="1">
        <v>0</v>
      </c>
      <c r="DR127" s="1">
        <v>0</v>
      </c>
      <c r="DS127" s="1">
        <v>0</v>
      </c>
      <c r="DT127" s="1">
        <v>0</v>
      </c>
      <c r="DU127" s="1">
        <v>0</v>
      </c>
      <c r="DV127" s="1">
        <v>0</v>
      </c>
      <c r="DW127" s="1">
        <v>0</v>
      </c>
      <c r="DX127" s="1">
        <v>0</v>
      </c>
      <c r="DY127" s="1">
        <v>0</v>
      </c>
      <c r="DZ127" s="1">
        <v>0</v>
      </c>
      <c r="EA127" s="1">
        <v>0</v>
      </c>
      <c r="EB127" s="1">
        <v>0</v>
      </c>
      <c r="EC127" s="1">
        <v>0</v>
      </c>
      <c r="ED127" s="1">
        <v>0</v>
      </c>
    </row>
    <row r="128" spans="1:134" x14ac:dyDescent="0.25">
      <c r="A128" t="s">
        <v>246</v>
      </c>
      <c r="B128" s="1">
        <v>1165</v>
      </c>
      <c r="C128" s="1">
        <v>74</v>
      </c>
      <c r="D128" s="1">
        <v>58</v>
      </c>
      <c r="E128" s="1">
        <v>17</v>
      </c>
      <c r="F128" s="1">
        <v>28</v>
      </c>
      <c r="G128" s="1">
        <v>84</v>
      </c>
      <c r="H128" s="1">
        <v>175</v>
      </c>
      <c r="I128" s="1">
        <v>157</v>
      </c>
      <c r="J128" s="1">
        <v>192</v>
      </c>
      <c r="K128" s="1">
        <v>4567</v>
      </c>
      <c r="L128" s="1">
        <v>3902</v>
      </c>
      <c r="M128" s="1">
        <v>3902</v>
      </c>
      <c r="N128" t="s">
        <v>141</v>
      </c>
      <c r="O128" t="s">
        <v>140</v>
      </c>
      <c r="P128" t="s">
        <v>140</v>
      </c>
      <c r="Q128" t="s">
        <v>140</v>
      </c>
      <c r="R128" t="s">
        <v>140</v>
      </c>
      <c r="S128" t="s">
        <v>140</v>
      </c>
      <c r="T128" t="s">
        <v>140</v>
      </c>
      <c r="U128" t="s">
        <v>140</v>
      </c>
      <c r="V128" t="s">
        <v>140</v>
      </c>
      <c r="W128" t="s">
        <v>140</v>
      </c>
      <c r="X128" t="s">
        <v>140</v>
      </c>
      <c r="Y128" t="s">
        <v>140</v>
      </c>
      <c r="Z128" t="s">
        <v>140</v>
      </c>
      <c r="AA128" t="s">
        <v>140</v>
      </c>
      <c r="AB128" t="s">
        <v>140</v>
      </c>
      <c r="AC128" t="s">
        <v>140</v>
      </c>
      <c r="AD128" t="s">
        <v>140</v>
      </c>
      <c r="AE128" t="s">
        <v>140</v>
      </c>
      <c r="AF128" t="s">
        <v>140</v>
      </c>
      <c r="AG128" t="s">
        <v>140</v>
      </c>
      <c r="AH128" t="s">
        <v>140</v>
      </c>
      <c r="AI128" t="s">
        <v>140</v>
      </c>
      <c r="AJ128" t="s">
        <v>140</v>
      </c>
      <c r="AK128" t="s">
        <v>140</v>
      </c>
      <c r="AL128" t="s">
        <v>140</v>
      </c>
      <c r="AM128" t="s">
        <v>140</v>
      </c>
      <c r="AN128" t="s">
        <v>140</v>
      </c>
      <c r="AO128" t="s">
        <v>140</v>
      </c>
      <c r="AP128" t="s">
        <v>140</v>
      </c>
      <c r="AQ128" t="s">
        <v>140</v>
      </c>
      <c r="AR128" t="s">
        <v>140</v>
      </c>
      <c r="AS128" t="s">
        <v>140</v>
      </c>
      <c r="AT128" t="s">
        <v>140</v>
      </c>
      <c r="AU128" t="s">
        <v>140</v>
      </c>
      <c r="AV128" t="s">
        <v>140</v>
      </c>
      <c r="AW128" t="s">
        <v>140</v>
      </c>
      <c r="AX128" t="s">
        <v>140</v>
      </c>
      <c r="AY128" t="s">
        <v>140</v>
      </c>
      <c r="AZ128" t="s">
        <v>140</v>
      </c>
      <c r="BA128" t="s">
        <v>140</v>
      </c>
      <c r="BB128" t="s">
        <v>140</v>
      </c>
      <c r="BC128" t="s">
        <v>140</v>
      </c>
      <c r="BD128" t="s">
        <v>140</v>
      </c>
      <c r="BE128" t="s">
        <v>140</v>
      </c>
      <c r="BF128" t="s">
        <v>140</v>
      </c>
      <c r="BG128" t="s">
        <v>140</v>
      </c>
      <c r="BH128" t="s">
        <v>140</v>
      </c>
      <c r="BI128" t="s">
        <v>140</v>
      </c>
      <c r="BJ128" t="s">
        <v>140</v>
      </c>
      <c r="BK128" t="s">
        <v>140</v>
      </c>
      <c r="BL128" t="s">
        <v>140</v>
      </c>
      <c r="BM128" t="s">
        <v>140</v>
      </c>
      <c r="BN128" t="s">
        <v>140</v>
      </c>
      <c r="BO128" t="s">
        <v>140</v>
      </c>
      <c r="BP128" t="s">
        <v>140</v>
      </c>
      <c r="BQ128" t="s">
        <v>140</v>
      </c>
      <c r="BR128" t="s">
        <v>140</v>
      </c>
      <c r="BS128" t="s">
        <v>140</v>
      </c>
      <c r="BT128" t="s">
        <v>140</v>
      </c>
      <c r="BU128" t="s">
        <v>140</v>
      </c>
      <c r="BV128" t="s">
        <v>140</v>
      </c>
      <c r="BW128" t="s">
        <v>140</v>
      </c>
      <c r="BX128" t="s">
        <v>140</v>
      </c>
      <c r="BY128" t="s">
        <v>140</v>
      </c>
      <c r="BZ128" t="s">
        <v>140</v>
      </c>
      <c r="CA128" t="s">
        <v>140</v>
      </c>
      <c r="CB128" t="s">
        <v>140</v>
      </c>
      <c r="CC128" t="s">
        <v>140</v>
      </c>
      <c r="CD128" t="s">
        <v>140</v>
      </c>
      <c r="CE128" t="s">
        <v>140</v>
      </c>
      <c r="CF128" t="s">
        <v>140</v>
      </c>
      <c r="CG128" t="s">
        <v>140</v>
      </c>
      <c r="CH128" t="s">
        <v>140</v>
      </c>
      <c r="CI128" t="s">
        <v>140</v>
      </c>
      <c r="CJ128" t="s">
        <v>140</v>
      </c>
      <c r="CK128" t="s">
        <v>140</v>
      </c>
      <c r="CL128" t="s">
        <v>140</v>
      </c>
      <c r="CM128" t="s">
        <v>140</v>
      </c>
      <c r="CN128" t="s">
        <v>140</v>
      </c>
      <c r="CO128" t="s">
        <v>140</v>
      </c>
      <c r="CP128" t="s">
        <v>140</v>
      </c>
      <c r="CQ128" t="s">
        <v>140</v>
      </c>
      <c r="CR128" t="s">
        <v>140</v>
      </c>
      <c r="CS128" t="s">
        <v>140</v>
      </c>
      <c r="CT128" t="s">
        <v>140</v>
      </c>
      <c r="CU128" t="s">
        <v>140</v>
      </c>
      <c r="CV128" t="s">
        <v>140</v>
      </c>
      <c r="CW128" t="s">
        <v>140</v>
      </c>
      <c r="CX128" t="s">
        <v>140</v>
      </c>
      <c r="CY128" t="s">
        <v>140</v>
      </c>
      <c r="CZ128" t="s">
        <v>140</v>
      </c>
      <c r="DA128" t="s">
        <v>140</v>
      </c>
      <c r="DB128" t="s">
        <v>140</v>
      </c>
      <c r="DC128" s="1">
        <v>332</v>
      </c>
      <c r="DD128" s="1">
        <v>738</v>
      </c>
      <c r="DE128" s="1">
        <v>858</v>
      </c>
      <c r="DF128" s="1">
        <v>1125</v>
      </c>
      <c r="DG128" s="1">
        <v>0</v>
      </c>
      <c r="DH128" s="1">
        <v>1032</v>
      </c>
      <c r="DI128" s="1">
        <v>1160</v>
      </c>
      <c r="DJ128" s="1">
        <v>1165</v>
      </c>
      <c r="DK128" s="1">
        <v>890</v>
      </c>
      <c r="DL128" s="1">
        <v>74</v>
      </c>
      <c r="DM128" s="1">
        <v>1338</v>
      </c>
      <c r="DN128" s="1">
        <v>58</v>
      </c>
      <c r="DO128" s="1">
        <v>31</v>
      </c>
      <c r="DP128" s="1">
        <v>17</v>
      </c>
      <c r="DQ128" s="1">
        <v>46</v>
      </c>
      <c r="DR128" s="1">
        <v>28</v>
      </c>
      <c r="DS128" s="1">
        <v>52</v>
      </c>
      <c r="DT128" s="1">
        <v>84</v>
      </c>
      <c r="DU128" s="1">
        <v>101</v>
      </c>
      <c r="DV128" s="1">
        <v>175</v>
      </c>
      <c r="DW128" s="1">
        <v>145</v>
      </c>
      <c r="DX128" s="1">
        <v>157</v>
      </c>
      <c r="DY128" s="1">
        <v>165</v>
      </c>
      <c r="DZ128" s="1">
        <v>192</v>
      </c>
      <c r="EA128" s="1">
        <v>174</v>
      </c>
      <c r="EB128" s="1">
        <v>4567</v>
      </c>
      <c r="EC128" s="1">
        <v>4603</v>
      </c>
      <c r="ED128" s="1">
        <v>3902</v>
      </c>
    </row>
    <row r="129" spans="1:134" x14ac:dyDescent="0.25">
      <c r="A129" t="s">
        <v>247</v>
      </c>
      <c r="B129" s="1">
        <v>2598</v>
      </c>
      <c r="C129" s="1">
        <v>0</v>
      </c>
      <c r="D129" s="1">
        <v>1706</v>
      </c>
      <c r="E129" s="1">
        <v>2825</v>
      </c>
      <c r="F129" s="1">
        <v>1940</v>
      </c>
      <c r="G129" s="1">
        <v>959</v>
      </c>
      <c r="H129" s="1">
        <v>300</v>
      </c>
      <c r="I129" s="1">
        <v>2589</v>
      </c>
      <c r="J129" s="1">
        <v>0</v>
      </c>
      <c r="K129" s="1">
        <v>0</v>
      </c>
      <c r="L129" s="1">
        <v>0</v>
      </c>
      <c r="M129" s="1">
        <v>0</v>
      </c>
      <c r="N129" t="s">
        <v>141</v>
      </c>
      <c r="O129" t="s">
        <v>140</v>
      </c>
      <c r="P129" t="s">
        <v>140</v>
      </c>
      <c r="Q129" t="s">
        <v>140</v>
      </c>
      <c r="R129" t="s">
        <v>140</v>
      </c>
      <c r="S129" t="s">
        <v>140</v>
      </c>
      <c r="T129" t="s">
        <v>140</v>
      </c>
      <c r="U129" t="s">
        <v>140</v>
      </c>
      <c r="V129" t="s">
        <v>140</v>
      </c>
      <c r="W129" t="s">
        <v>140</v>
      </c>
      <c r="X129" t="s">
        <v>140</v>
      </c>
      <c r="Y129" t="s">
        <v>140</v>
      </c>
      <c r="Z129" t="s">
        <v>140</v>
      </c>
      <c r="AA129" t="s">
        <v>140</v>
      </c>
      <c r="AB129" t="s">
        <v>140</v>
      </c>
      <c r="AC129" t="s">
        <v>140</v>
      </c>
      <c r="AD129" t="s">
        <v>140</v>
      </c>
      <c r="AE129" t="s">
        <v>140</v>
      </c>
      <c r="AF129" t="s">
        <v>140</v>
      </c>
      <c r="AG129" t="s">
        <v>140</v>
      </c>
      <c r="AH129" t="s">
        <v>140</v>
      </c>
      <c r="AI129" t="s">
        <v>140</v>
      </c>
      <c r="AJ129" t="s">
        <v>140</v>
      </c>
      <c r="AK129" t="s">
        <v>140</v>
      </c>
      <c r="AL129" t="s">
        <v>140</v>
      </c>
      <c r="AM129" t="s">
        <v>140</v>
      </c>
      <c r="AN129" t="s">
        <v>140</v>
      </c>
      <c r="AO129" t="s">
        <v>140</v>
      </c>
      <c r="AP129" t="s">
        <v>140</v>
      </c>
      <c r="AQ129" t="s">
        <v>140</v>
      </c>
      <c r="AR129" t="s">
        <v>140</v>
      </c>
      <c r="AS129" t="s">
        <v>140</v>
      </c>
      <c r="AT129" t="s">
        <v>140</v>
      </c>
      <c r="AU129" t="s">
        <v>140</v>
      </c>
      <c r="AV129" t="s">
        <v>140</v>
      </c>
      <c r="AW129" t="s">
        <v>140</v>
      </c>
      <c r="AX129" t="s">
        <v>140</v>
      </c>
      <c r="AY129" t="s">
        <v>140</v>
      </c>
      <c r="AZ129" t="s">
        <v>140</v>
      </c>
      <c r="BA129" t="s">
        <v>140</v>
      </c>
      <c r="BB129" t="s">
        <v>140</v>
      </c>
      <c r="BC129" t="s">
        <v>140</v>
      </c>
      <c r="BD129" t="s">
        <v>140</v>
      </c>
      <c r="BE129" t="s">
        <v>140</v>
      </c>
      <c r="BF129" t="s">
        <v>140</v>
      </c>
      <c r="BG129" t="s">
        <v>140</v>
      </c>
      <c r="BH129" t="s">
        <v>140</v>
      </c>
      <c r="BI129" t="s">
        <v>140</v>
      </c>
      <c r="BJ129" t="s">
        <v>140</v>
      </c>
      <c r="BK129" t="s">
        <v>140</v>
      </c>
      <c r="BL129" t="s">
        <v>140</v>
      </c>
      <c r="BM129" t="s">
        <v>140</v>
      </c>
      <c r="BN129" t="s">
        <v>140</v>
      </c>
      <c r="BO129" t="s">
        <v>140</v>
      </c>
      <c r="BP129" t="s">
        <v>140</v>
      </c>
      <c r="BQ129" t="s">
        <v>140</v>
      </c>
      <c r="BR129" t="s">
        <v>140</v>
      </c>
      <c r="BS129" t="s">
        <v>140</v>
      </c>
      <c r="BT129" t="s">
        <v>140</v>
      </c>
      <c r="BU129" t="s">
        <v>140</v>
      </c>
      <c r="BV129" t="s">
        <v>140</v>
      </c>
      <c r="BW129" t="s">
        <v>140</v>
      </c>
      <c r="BX129" t="s">
        <v>140</v>
      </c>
      <c r="BY129" t="s">
        <v>140</v>
      </c>
      <c r="BZ129" t="s">
        <v>140</v>
      </c>
      <c r="CA129" t="s">
        <v>140</v>
      </c>
      <c r="CB129" t="s">
        <v>140</v>
      </c>
      <c r="CC129" t="s">
        <v>140</v>
      </c>
      <c r="CD129" t="s">
        <v>140</v>
      </c>
      <c r="CE129" t="s">
        <v>140</v>
      </c>
      <c r="CF129" t="s">
        <v>140</v>
      </c>
      <c r="CG129" t="s">
        <v>140</v>
      </c>
      <c r="CH129" t="s">
        <v>140</v>
      </c>
      <c r="CI129" t="s">
        <v>140</v>
      </c>
      <c r="CJ129" t="s">
        <v>140</v>
      </c>
      <c r="CK129" t="s">
        <v>140</v>
      </c>
      <c r="CL129" t="s">
        <v>140</v>
      </c>
      <c r="CM129" t="s">
        <v>140</v>
      </c>
      <c r="CN129" t="s">
        <v>140</v>
      </c>
      <c r="CO129" t="s">
        <v>140</v>
      </c>
      <c r="CP129" t="s">
        <v>140</v>
      </c>
      <c r="CQ129" t="s">
        <v>140</v>
      </c>
      <c r="CR129" t="s">
        <v>140</v>
      </c>
      <c r="CS129" t="s">
        <v>140</v>
      </c>
      <c r="CT129" t="s">
        <v>140</v>
      </c>
      <c r="CU129" t="s">
        <v>140</v>
      </c>
      <c r="CV129" t="s">
        <v>140</v>
      </c>
      <c r="CW129" t="s">
        <v>140</v>
      </c>
      <c r="CX129" t="s">
        <v>140</v>
      </c>
      <c r="CY129" t="s">
        <v>140</v>
      </c>
      <c r="CZ129" t="s">
        <v>140</v>
      </c>
      <c r="DA129" t="s">
        <v>140</v>
      </c>
      <c r="DB129" t="s">
        <v>140</v>
      </c>
      <c r="DC129" s="1">
        <v>12169</v>
      </c>
      <c r="DD129" s="1">
        <v>0</v>
      </c>
      <c r="DE129" s="1">
        <v>2575</v>
      </c>
      <c r="DF129" s="1">
        <v>493</v>
      </c>
      <c r="DG129" s="1">
        <v>0</v>
      </c>
      <c r="DH129" s="1">
        <v>0</v>
      </c>
      <c r="DI129" s="1">
        <v>249</v>
      </c>
      <c r="DJ129" s="1">
        <v>2598</v>
      </c>
      <c r="DK129" s="1">
        <v>1850</v>
      </c>
      <c r="DL129" s="1">
        <v>0</v>
      </c>
      <c r="DM129" s="1">
        <v>1701</v>
      </c>
      <c r="DN129" s="1">
        <v>1706</v>
      </c>
      <c r="DO129" s="1">
        <v>2000</v>
      </c>
      <c r="DP129" s="1">
        <v>2825</v>
      </c>
      <c r="DQ129" s="1">
        <v>1876</v>
      </c>
      <c r="DR129" s="1">
        <v>1940</v>
      </c>
      <c r="DS129" s="1">
        <v>2633</v>
      </c>
      <c r="DT129" s="1">
        <v>959</v>
      </c>
      <c r="DU129" s="1">
        <v>1110</v>
      </c>
      <c r="DV129" s="1">
        <v>300</v>
      </c>
      <c r="DW129" s="1">
        <v>2935</v>
      </c>
      <c r="DX129" s="1">
        <v>2589</v>
      </c>
      <c r="DY129" s="1">
        <v>2998</v>
      </c>
      <c r="DZ129" s="1">
        <v>0</v>
      </c>
      <c r="EA129" s="1">
        <v>3516</v>
      </c>
      <c r="EB129" s="1">
        <v>0</v>
      </c>
      <c r="EC129" s="1">
        <v>0</v>
      </c>
      <c r="ED129" s="1">
        <v>0</v>
      </c>
    </row>
    <row r="130" spans="1:134" x14ac:dyDescent="0.25">
      <c r="A130" t="s">
        <v>248</v>
      </c>
      <c r="B130" s="1">
        <v>0</v>
      </c>
      <c r="C130" s="1">
        <v>0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  <c r="M130" s="1">
        <v>0</v>
      </c>
      <c r="N130" t="s">
        <v>141</v>
      </c>
      <c r="O130" t="s">
        <v>140</v>
      </c>
      <c r="P130" t="s">
        <v>140</v>
      </c>
      <c r="Q130" t="s">
        <v>140</v>
      </c>
      <c r="R130" t="s">
        <v>140</v>
      </c>
      <c r="S130" t="s">
        <v>140</v>
      </c>
      <c r="T130" t="s">
        <v>140</v>
      </c>
      <c r="U130" t="s">
        <v>140</v>
      </c>
      <c r="V130" t="s">
        <v>140</v>
      </c>
      <c r="W130" t="s">
        <v>140</v>
      </c>
      <c r="X130" t="s">
        <v>140</v>
      </c>
      <c r="Y130" t="s">
        <v>140</v>
      </c>
      <c r="Z130" t="s">
        <v>140</v>
      </c>
      <c r="AA130" t="s">
        <v>140</v>
      </c>
      <c r="AB130" t="s">
        <v>140</v>
      </c>
      <c r="AC130" t="s">
        <v>140</v>
      </c>
      <c r="AD130" t="s">
        <v>140</v>
      </c>
      <c r="AE130" t="s">
        <v>140</v>
      </c>
      <c r="AF130" t="s">
        <v>140</v>
      </c>
      <c r="AG130" t="s">
        <v>140</v>
      </c>
      <c r="AH130" t="s">
        <v>140</v>
      </c>
      <c r="AI130" t="s">
        <v>140</v>
      </c>
      <c r="AJ130" t="s">
        <v>140</v>
      </c>
      <c r="AK130" t="s">
        <v>140</v>
      </c>
      <c r="AL130" t="s">
        <v>140</v>
      </c>
      <c r="AM130" t="s">
        <v>140</v>
      </c>
      <c r="AN130" t="s">
        <v>140</v>
      </c>
      <c r="AO130" t="s">
        <v>140</v>
      </c>
      <c r="AP130" t="s">
        <v>140</v>
      </c>
      <c r="AQ130" t="s">
        <v>140</v>
      </c>
      <c r="AR130" t="s">
        <v>140</v>
      </c>
      <c r="AS130" t="s">
        <v>140</v>
      </c>
      <c r="AT130" t="s">
        <v>140</v>
      </c>
      <c r="AU130" t="s">
        <v>140</v>
      </c>
      <c r="AV130" t="s">
        <v>140</v>
      </c>
      <c r="AW130" t="s">
        <v>140</v>
      </c>
      <c r="AX130" t="s">
        <v>140</v>
      </c>
      <c r="AY130" t="s">
        <v>140</v>
      </c>
      <c r="AZ130" t="s">
        <v>140</v>
      </c>
      <c r="BA130" t="s">
        <v>140</v>
      </c>
      <c r="BB130" t="s">
        <v>140</v>
      </c>
      <c r="BC130" t="s">
        <v>140</v>
      </c>
      <c r="BD130" t="s">
        <v>140</v>
      </c>
      <c r="BE130" t="s">
        <v>140</v>
      </c>
      <c r="BF130" t="s">
        <v>140</v>
      </c>
      <c r="BG130" t="s">
        <v>140</v>
      </c>
      <c r="BH130" t="s">
        <v>140</v>
      </c>
      <c r="BI130" t="s">
        <v>140</v>
      </c>
      <c r="BJ130" t="s">
        <v>140</v>
      </c>
      <c r="BK130" t="s">
        <v>140</v>
      </c>
      <c r="BL130" t="s">
        <v>140</v>
      </c>
      <c r="BM130" t="s">
        <v>140</v>
      </c>
      <c r="BN130" t="s">
        <v>140</v>
      </c>
      <c r="BO130" t="s">
        <v>140</v>
      </c>
      <c r="BP130" t="s">
        <v>140</v>
      </c>
      <c r="BQ130" t="s">
        <v>140</v>
      </c>
      <c r="BR130" t="s">
        <v>140</v>
      </c>
      <c r="BS130" t="s">
        <v>140</v>
      </c>
      <c r="BT130" t="s">
        <v>140</v>
      </c>
      <c r="BU130" t="s">
        <v>140</v>
      </c>
      <c r="BV130" t="s">
        <v>140</v>
      </c>
      <c r="BW130" t="s">
        <v>140</v>
      </c>
      <c r="BX130" t="s">
        <v>140</v>
      </c>
      <c r="BY130" t="s">
        <v>140</v>
      </c>
      <c r="BZ130" t="s">
        <v>140</v>
      </c>
      <c r="CA130" t="s">
        <v>140</v>
      </c>
      <c r="CB130" t="s">
        <v>140</v>
      </c>
      <c r="CC130" t="s">
        <v>140</v>
      </c>
      <c r="CD130" t="s">
        <v>140</v>
      </c>
      <c r="CE130" t="s">
        <v>140</v>
      </c>
      <c r="CF130" t="s">
        <v>140</v>
      </c>
      <c r="CG130" t="s">
        <v>140</v>
      </c>
      <c r="CH130" t="s">
        <v>140</v>
      </c>
      <c r="CI130" t="s">
        <v>140</v>
      </c>
      <c r="CJ130" t="s">
        <v>140</v>
      </c>
      <c r="CK130" t="s">
        <v>140</v>
      </c>
      <c r="CL130" t="s">
        <v>140</v>
      </c>
      <c r="CM130" t="s">
        <v>140</v>
      </c>
      <c r="CN130" t="s">
        <v>140</v>
      </c>
      <c r="CO130" t="s">
        <v>140</v>
      </c>
      <c r="CP130" t="s">
        <v>140</v>
      </c>
      <c r="CQ130" t="s">
        <v>140</v>
      </c>
      <c r="CR130" t="s">
        <v>140</v>
      </c>
      <c r="CS130" t="s">
        <v>140</v>
      </c>
      <c r="CT130" t="s">
        <v>140</v>
      </c>
      <c r="CU130" t="s">
        <v>140</v>
      </c>
      <c r="CV130" t="s">
        <v>140</v>
      </c>
      <c r="CW130" t="s">
        <v>140</v>
      </c>
      <c r="CX130" t="s">
        <v>140</v>
      </c>
      <c r="CY130" t="s">
        <v>140</v>
      </c>
      <c r="CZ130" t="s">
        <v>140</v>
      </c>
      <c r="DA130" t="s">
        <v>140</v>
      </c>
      <c r="DB130" t="s">
        <v>140</v>
      </c>
      <c r="DC130" s="1">
        <v>0</v>
      </c>
      <c r="DD130" s="1">
        <v>0</v>
      </c>
      <c r="DE130" s="1">
        <v>0</v>
      </c>
      <c r="DF130" s="1">
        <v>0</v>
      </c>
      <c r="DG130" s="1">
        <v>0</v>
      </c>
      <c r="DH130" s="1">
        <v>0</v>
      </c>
      <c r="DI130" s="1">
        <v>0</v>
      </c>
      <c r="DJ130" s="1">
        <v>0</v>
      </c>
      <c r="DK130" s="1">
        <v>0</v>
      </c>
      <c r="DL130" s="1">
        <v>0</v>
      </c>
      <c r="DM130" s="1">
        <v>0</v>
      </c>
      <c r="DN130" s="1">
        <v>0</v>
      </c>
      <c r="DO130" s="1">
        <v>0</v>
      </c>
      <c r="DP130" s="1">
        <v>0</v>
      </c>
      <c r="DQ130" s="1">
        <v>0</v>
      </c>
      <c r="DR130" s="1">
        <v>0</v>
      </c>
      <c r="DS130" s="1">
        <v>0</v>
      </c>
      <c r="DT130" s="1">
        <v>0</v>
      </c>
      <c r="DU130" s="1">
        <v>0</v>
      </c>
      <c r="DV130" s="1">
        <v>0</v>
      </c>
      <c r="DW130" s="1">
        <v>0</v>
      </c>
      <c r="DX130" s="1">
        <v>0</v>
      </c>
      <c r="DY130" s="1">
        <v>0</v>
      </c>
      <c r="DZ130" s="1">
        <v>0</v>
      </c>
      <c r="EA130" s="1">
        <v>0</v>
      </c>
      <c r="EB130" s="1">
        <v>0</v>
      </c>
      <c r="EC130" s="1">
        <v>0</v>
      </c>
      <c r="ED130" s="1">
        <v>0</v>
      </c>
    </row>
    <row r="131" spans="1:134" x14ac:dyDescent="0.25">
      <c r="A131" t="s">
        <v>249</v>
      </c>
      <c r="B131" s="1">
        <v>2598</v>
      </c>
      <c r="C131" s="1">
        <v>0</v>
      </c>
      <c r="D131" s="1">
        <v>1706</v>
      </c>
      <c r="E131" s="1">
        <v>2825</v>
      </c>
      <c r="F131" s="1">
        <v>1940</v>
      </c>
      <c r="G131" s="1">
        <v>959</v>
      </c>
      <c r="H131" s="1">
        <v>300</v>
      </c>
      <c r="I131" s="1">
        <v>2589</v>
      </c>
      <c r="J131" s="1">
        <v>0</v>
      </c>
      <c r="K131" s="1">
        <v>0</v>
      </c>
      <c r="L131" s="1">
        <v>0</v>
      </c>
      <c r="M131" s="1">
        <v>0</v>
      </c>
      <c r="N131" t="s">
        <v>141</v>
      </c>
      <c r="O131" t="s">
        <v>140</v>
      </c>
      <c r="P131" t="s">
        <v>140</v>
      </c>
      <c r="Q131" t="s">
        <v>140</v>
      </c>
      <c r="R131" t="s">
        <v>140</v>
      </c>
      <c r="S131" t="s">
        <v>140</v>
      </c>
      <c r="T131" t="s">
        <v>140</v>
      </c>
      <c r="U131" t="s">
        <v>140</v>
      </c>
      <c r="V131" t="s">
        <v>140</v>
      </c>
      <c r="W131" t="s">
        <v>140</v>
      </c>
      <c r="X131" t="s">
        <v>140</v>
      </c>
      <c r="Y131" t="s">
        <v>140</v>
      </c>
      <c r="Z131" t="s">
        <v>140</v>
      </c>
      <c r="AA131" t="s">
        <v>140</v>
      </c>
      <c r="AB131" t="s">
        <v>140</v>
      </c>
      <c r="AC131" t="s">
        <v>140</v>
      </c>
      <c r="AD131" t="s">
        <v>140</v>
      </c>
      <c r="AE131" t="s">
        <v>140</v>
      </c>
      <c r="AF131" t="s">
        <v>140</v>
      </c>
      <c r="AG131" t="s">
        <v>140</v>
      </c>
      <c r="AH131" t="s">
        <v>140</v>
      </c>
      <c r="AI131" t="s">
        <v>140</v>
      </c>
      <c r="AJ131" t="s">
        <v>140</v>
      </c>
      <c r="AK131" t="s">
        <v>140</v>
      </c>
      <c r="AL131" t="s">
        <v>140</v>
      </c>
      <c r="AM131" t="s">
        <v>140</v>
      </c>
      <c r="AN131" t="s">
        <v>140</v>
      </c>
      <c r="AO131" t="s">
        <v>140</v>
      </c>
      <c r="AP131" t="s">
        <v>140</v>
      </c>
      <c r="AQ131" t="s">
        <v>140</v>
      </c>
      <c r="AR131" t="s">
        <v>140</v>
      </c>
      <c r="AS131" t="s">
        <v>140</v>
      </c>
      <c r="AT131" t="s">
        <v>140</v>
      </c>
      <c r="AU131" t="s">
        <v>140</v>
      </c>
      <c r="AV131" t="s">
        <v>140</v>
      </c>
      <c r="AW131" t="s">
        <v>140</v>
      </c>
      <c r="AX131" t="s">
        <v>140</v>
      </c>
      <c r="AY131" t="s">
        <v>140</v>
      </c>
      <c r="AZ131" t="s">
        <v>140</v>
      </c>
      <c r="BA131" t="s">
        <v>140</v>
      </c>
      <c r="BB131" t="s">
        <v>140</v>
      </c>
      <c r="BC131" t="s">
        <v>140</v>
      </c>
      <c r="BD131" t="s">
        <v>140</v>
      </c>
      <c r="BE131" t="s">
        <v>140</v>
      </c>
      <c r="BF131" t="s">
        <v>140</v>
      </c>
      <c r="BG131" t="s">
        <v>140</v>
      </c>
      <c r="BH131" t="s">
        <v>140</v>
      </c>
      <c r="BI131" t="s">
        <v>140</v>
      </c>
      <c r="BJ131" t="s">
        <v>140</v>
      </c>
      <c r="BK131" t="s">
        <v>140</v>
      </c>
      <c r="BL131" t="s">
        <v>140</v>
      </c>
      <c r="BM131" t="s">
        <v>140</v>
      </c>
      <c r="BN131" t="s">
        <v>140</v>
      </c>
      <c r="BO131" t="s">
        <v>140</v>
      </c>
      <c r="BP131" t="s">
        <v>140</v>
      </c>
      <c r="BQ131" t="s">
        <v>140</v>
      </c>
      <c r="BR131" t="s">
        <v>140</v>
      </c>
      <c r="BS131" t="s">
        <v>140</v>
      </c>
      <c r="BT131" t="s">
        <v>140</v>
      </c>
      <c r="BU131" t="s">
        <v>140</v>
      </c>
      <c r="BV131" t="s">
        <v>140</v>
      </c>
      <c r="BW131" t="s">
        <v>140</v>
      </c>
      <c r="BX131" t="s">
        <v>140</v>
      </c>
      <c r="BY131" t="s">
        <v>140</v>
      </c>
      <c r="BZ131" t="s">
        <v>140</v>
      </c>
      <c r="CA131" t="s">
        <v>140</v>
      </c>
      <c r="CB131" t="s">
        <v>140</v>
      </c>
      <c r="CC131" t="s">
        <v>140</v>
      </c>
      <c r="CD131" t="s">
        <v>140</v>
      </c>
      <c r="CE131" t="s">
        <v>140</v>
      </c>
      <c r="CF131" t="s">
        <v>140</v>
      </c>
      <c r="CG131" t="s">
        <v>140</v>
      </c>
      <c r="CH131" t="s">
        <v>140</v>
      </c>
      <c r="CI131" t="s">
        <v>140</v>
      </c>
      <c r="CJ131" t="s">
        <v>140</v>
      </c>
      <c r="CK131" t="s">
        <v>140</v>
      </c>
      <c r="CL131" t="s">
        <v>140</v>
      </c>
      <c r="CM131" t="s">
        <v>140</v>
      </c>
      <c r="CN131" t="s">
        <v>140</v>
      </c>
      <c r="CO131" t="s">
        <v>140</v>
      </c>
      <c r="CP131" t="s">
        <v>140</v>
      </c>
      <c r="CQ131" t="s">
        <v>140</v>
      </c>
      <c r="CR131" t="s">
        <v>140</v>
      </c>
      <c r="CS131" t="s">
        <v>140</v>
      </c>
      <c r="CT131" t="s">
        <v>140</v>
      </c>
      <c r="CU131" t="s">
        <v>140</v>
      </c>
      <c r="CV131" t="s">
        <v>140</v>
      </c>
      <c r="CW131" t="s">
        <v>140</v>
      </c>
      <c r="CX131" t="s">
        <v>140</v>
      </c>
      <c r="CY131" t="s">
        <v>140</v>
      </c>
      <c r="CZ131" t="s">
        <v>140</v>
      </c>
      <c r="DA131" t="s">
        <v>140</v>
      </c>
      <c r="DB131" t="s">
        <v>140</v>
      </c>
      <c r="DC131" s="1">
        <v>12169</v>
      </c>
      <c r="DD131" s="1">
        <v>0</v>
      </c>
      <c r="DE131" s="1">
        <v>2575</v>
      </c>
      <c r="DF131" s="1">
        <v>493</v>
      </c>
      <c r="DG131" s="1">
        <v>0</v>
      </c>
      <c r="DH131" s="1">
        <v>0</v>
      </c>
      <c r="DI131" s="1">
        <v>249</v>
      </c>
      <c r="DJ131" s="1">
        <v>2598</v>
      </c>
      <c r="DK131" s="1">
        <v>1850</v>
      </c>
      <c r="DL131" s="1">
        <v>0</v>
      </c>
      <c r="DM131" s="1">
        <v>1701</v>
      </c>
      <c r="DN131" s="1">
        <v>1706</v>
      </c>
      <c r="DO131" s="1">
        <v>2000</v>
      </c>
      <c r="DP131" s="1">
        <v>2825</v>
      </c>
      <c r="DQ131" s="1">
        <v>1876</v>
      </c>
      <c r="DR131" s="1">
        <v>1940</v>
      </c>
      <c r="DS131" s="1">
        <v>2633</v>
      </c>
      <c r="DT131" s="1">
        <v>959</v>
      </c>
      <c r="DU131" s="1">
        <v>1110</v>
      </c>
      <c r="DV131" s="1">
        <v>300</v>
      </c>
      <c r="DW131" s="1">
        <v>2935</v>
      </c>
      <c r="DX131" s="1">
        <v>2589</v>
      </c>
      <c r="DY131" s="1">
        <v>2998</v>
      </c>
      <c r="DZ131" s="1">
        <v>0</v>
      </c>
      <c r="EA131" s="1">
        <v>3516</v>
      </c>
      <c r="EB131" s="1">
        <v>0</v>
      </c>
      <c r="EC131" s="1">
        <v>0</v>
      </c>
      <c r="ED131" s="1">
        <v>0</v>
      </c>
    </row>
    <row r="132" spans="1:134" x14ac:dyDescent="0.25">
      <c r="A132" t="s">
        <v>250</v>
      </c>
      <c r="B132" s="1">
        <v>0</v>
      </c>
      <c r="C132" s="1">
        <v>0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  <c r="M132" s="1">
        <v>0</v>
      </c>
      <c r="N132" t="s">
        <v>141</v>
      </c>
      <c r="O132" t="s">
        <v>140</v>
      </c>
      <c r="P132" t="s">
        <v>140</v>
      </c>
      <c r="Q132" t="s">
        <v>140</v>
      </c>
      <c r="R132" t="s">
        <v>140</v>
      </c>
      <c r="S132" t="s">
        <v>140</v>
      </c>
      <c r="T132" t="s">
        <v>140</v>
      </c>
      <c r="U132" t="s">
        <v>140</v>
      </c>
      <c r="V132" t="s">
        <v>140</v>
      </c>
      <c r="W132" t="s">
        <v>140</v>
      </c>
      <c r="X132" t="s">
        <v>140</v>
      </c>
      <c r="Y132" t="s">
        <v>140</v>
      </c>
      <c r="Z132" t="s">
        <v>140</v>
      </c>
      <c r="AA132" t="s">
        <v>140</v>
      </c>
      <c r="AB132" t="s">
        <v>140</v>
      </c>
      <c r="AC132" t="s">
        <v>140</v>
      </c>
      <c r="AD132" t="s">
        <v>140</v>
      </c>
      <c r="AE132" t="s">
        <v>140</v>
      </c>
      <c r="AF132" t="s">
        <v>140</v>
      </c>
      <c r="AG132" t="s">
        <v>140</v>
      </c>
      <c r="AH132" t="s">
        <v>140</v>
      </c>
      <c r="AI132" t="s">
        <v>140</v>
      </c>
      <c r="AJ132" t="s">
        <v>140</v>
      </c>
      <c r="AK132" t="s">
        <v>140</v>
      </c>
      <c r="AL132" t="s">
        <v>140</v>
      </c>
      <c r="AM132" t="s">
        <v>140</v>
      </c>
      <c r="AN132" t="s">
        <v>140</v>
      </c>
      <c r="AO132" t="s">
        <v>140</v>
      </c>
      <c r="AP132" t="s">
        <v>140</v>
      </c>
      <c r="AQ132" t="s">
        <v>140</v>
      </c>
      <c r="AR132" t="s">
        <v>140</v>
      </c>
      <c r="AS132" t="s">
        <v>140</v>
      </c>
      <c r="AT132" t="s">
        <v>140</v>
      </c>
      <c r="AU132" t="s">
        <v>140</v>
      </c>
      <c r="AV132" t="s">
        <v>140</v>
      </c>
      <c r="AW132" t="s">
        <v>140</v>
      </c>
      <c r="AX132" t="s">
        <v>140</v>
      </c>
      <c r="AY132" t="s">
        <v>140</v>
      </c>
      <c r="AZ132" t="s">
        <v>140</v>
      </c>
      <c r="BA132" t="s">
        <v>140</v>
      </c>
      <c r="BB132" t="s">
        <v>140</v>
      </c>
      <c r="BC132" t="s">
        <v>140</v>
      </c>
      <c r="BD132" t="s">
        <v>140</v>
      </c>
      <c r="BE132" t="s">
        <v>140</v>
      </c>
      <c r="BF132" t="s">
        <v>140</v>
      </c>
      <c r="BG132" t="s">
        <v>140</v>
      </c>
      <c r="BH132" t="s">
        <v>140</v>
      </c>
      <c r="BI132" t="s">
        <v>140</v>
      </c>
      <c r="BJ132" t="s">
        <v>140</v>
      </c>
      <c r="BK132" t="s">
        <v>140</v>
      </c>
      <c r="BL132" t="s">
        <v>140</v>
      </c>
      <c r="BM132" t="s">
        <v>140</v>
      </c>
      <c r="BN132" t="s">
        <v>140</v>
      </c>
      <c r="BO132" t="s">
        <v>140</v>
      </c>
      <c r="BP132" t="s">
        <v>140</v>
      </c>
      <c r="BQ132" t="s">
        <v>140</v>
      </c>
      <c r="BR132" t="s">
        <v>140</v>
      </c>
      <c r="BS132" t="s">
        <v>140</v>
      </c>
      <c r="BT132" t="s">
        <v>140</v>
      </c>
      <c r="BU132" t="s">
        <v>140</v>
      </c>
      <c r="BV132" t="s">
        <v>140</v>
      </c>
      <c r="BW132" t="s">
        <v>140</v>
      </c>
      <c r="BX132" t="s">
        <v>140</v>
      </c>
      <c r="BY132" t="s">
        <v>140</v>
      </c>
      <c r="BZ132" t="s">
        <v>140</v>
      </c>
      <c r="CA132" t="s">
        <v>140</v>
      </c>
      <c r="CB132" t="s">
        <v>140</v>
      </c>
      <c r="CC132" t="s">
        <v>140</v>
      </c>
      <c r="CD132" t="s">
        <v>140</v>
      </c>
      <c r="CE132" t="s">
        <v>140</v>
      </c>
      <c r="CF132" t="s">
        <v>140</v>
      </c>
      <c r="CG132" t="s">
        <v>140</v>
      </c>
      <c r="CH132" t="s">
        <v>140</v>
      </c>
      <c r="CI132" t="s">
        <v>140</v>
      </c>
      <c r="CJ132" t="s">
        <v>140</v>
      </c>
      <c r="CK132" t="s">
        <v>140</v>
      </c>
      <c r="CL132" t="s">
        <v>140</v>
      </c>
      <c r="CM132" t="s">
        <v>140</v>
      </c>
      <c r="CN132" t="s">
        <v>140</v>
      </c>
      <c r="CO132" t="s">
        <v>140</v>
      </c>
      <c r="CP132" t="s">
        <v>140</v>
      </c>
      <c r="CQ132" t="s">
        <v>140</v>
      </c>
      <c r="CR132" t="s">
        <v>140</v>
      </c>
      <c r="CS132" t="s">
        <v>140</v>
      </c>
      <c r="CT132" t="s">
        <v>140</v>
      </c>
      <c r="CU132" t="s">
        <v>140</v>
      </c>
      <c r="CV132" t="s">
        <v>140</v>
      </c>
      <c r="CW132" t="s">
        <v>140</v>
      </c>
      <c r="CX132" t="s">
        <v>140</v>
      </c>
      <c r="CY132" t="s">
        <v>140</v>
      </c>
      <c r="CZ132" t="s">
        <v>140</v>
      </c>
      <c r="DA132" t="s">
        <v>140</v>
      </c>
      <c r="DB132" t="s">
        <v>140</v>
      </c>
      <c r="DC132" s="1">
        <v>0</v>
      </c>
      <c r="DD132" s="1">
        <v>0</v>
      </c>
      <c r="DE132" s="1">
        <v>0</v>
      </c>
      <c r="DF132" s="1">
        <v>0</v>
      </c>
      <c r="DG132" s="1">
        <v>0</v>
      </c>
      <c r="DH132" s="1">
        <v>0</v>
      </c>
      <c r="DI132" s="1">
        <v>0</v>
      </c>
      <c r="DJ132" s="1">
        <v>0</v>
      </c>
      <c r="DK132" s="1">
        <v>0</v>
      </c>
      <c r="DL132" s="1">
        <v>0</v>
      </c>
      <c r="DM132" s="1">
        <v>0</v>
      </c>
      <c r="DN132" s="1">
        <v>0</v>
      </c>
      <c r="DO132" s="1">
        <v>0</v>
      </c>
      <c r="DP132" s="1">
        <v>0</v>
      </c>
      <c r="DQ132" s="1">
        <v>0</v>
      </c>
      <c r="DR132" s="1">
        <v>0</v>
      </c>
      <c r="DS132" s="1">
        <v>0</v>
      </c>
      <c r="DT132" s="1">
        <v>0</v>
      </c>
      <c r="DU132" s="1">
        <v>0</v>
      </c>
      <c r="DV132" s="1">
        <v>0</v>
      </c>
      <c r="DW132" s="1">
        <v>0</v>
      </c>
      <c r="DX132" s="1">
        <v>0</v>
      </c>
      <c r="DY132" s="1">
        <v>0</v>
      </c>
      <c r="DZ132" s="1">
        <v>0</v>
      </c>
      <c r="EA132" s="1">
        <v>0</v>
      </c>
      <c r="EB132" s="1">
        <v>0</v>
      </c>
      <c r="EC132" s="1">
        <v>0</v>
      </c>
      <c r="ED132" s="1">
        <v>0</v>
      </c>
    </row>
    <row r="133" spans="1:134" x14ac:dyDescent="0.25">
      <c r="A133" t="s">
        <v>251</v>
      </c>
      <c r="B133" s="1">
        <v>0</v>
      </c>
      <c r="C133" s="1">
        <v>179</v>
      </c>
      <c r="D133" s="1">
        <v>159</v>
      </c>
      <c r="E133" s="1">
        <v>209</v>
      </c>
      <c r="F133" s="1">
        <v>240</v>
      </c>
      <c r="G133" s="1">
        <v>252</v>
      </c>
      <c r="H133" s="1">
        <v>305</v>
      </c>
      <c r="I133" s="1">
        <v>420</v>
      </c>
      <c r="J133" s="1">
        <v>0</v>
      </c>
      <c r="K133" s="1">
        <v>0</v>
      </c>
      <c r="L133" s="1">
        <v>0</v>
      </c>
      <c r="M133" s="1">
        <v>0</v>
      </c>
      <c r="N133" t="s">
        <v>141</v>
      </c>
      <c r="O133" t="s">
        <v>140</v>
      </c>
      <c r="P133" t="s">
        <v>140</v>
      </c>
      <c r="Q133" t="s">
        <v>140</v>
      </c>
      <c r="R133" t="s">
        <v>140</v>
      </c>
      <c r="S133" t="s">
        <v>140</v>
      </c>
      <c r="T133" t="s">
        <v>140</v>
      </c>
      <c r="U133" t="s">
        <v>140</v>
      </c>
      <c r="V133" t="s">
        <v>140</v>
      </c>
      <c r="W133" t="s">
        <v>140</v>
      </c>
      <c r="X133" t="s">
        <v>140</v>
      </c>
      <c r="Y133" t="s">
        <v>140</v>
      </c>
      <c r="Z133" t="s">
        <v>140</v>
      </c>
      <c r="AA133" t="s">
        <v>140</v>
      </c>
      <c r="AB133" t="s">
        <v>140</v>
      </c>
      <c r="AC133" t="s">
        <v>140</v>
      </c>
      <c r="AD133" t="s">
        <v>140</v>
      </c>
      <c r="AE133" t="s">
        <v>140</v>
      </c>
      <c r="AF133" t="s">
        <v>140</v>
      </c>
      <c r="AG133" t="s">
        <v>140</v>
      </c>
      <c r="AH133" t="s">
        <v>140</v>
      </c>
      <c r="AI133" t="s">
        <v>140</v>
      </c>
      <c r="AJ133" t="s">
        <v>140</v>
      </c>
      <c r="AK133" t="s">
        <v>140</v>
      </c>
      <c r="AL133" t="s">
        <v>140</v>
      </c>
      <c r="AM133" t="s">
        <v>140</v>
      </c>
      <c r="AN133" t="s">
        <v>140</v>
      </c>
      <c r="AO133" t="s">
        <v>140</v>
      </c>
      <c r="AP133" t="s">
        <v>140</v>
      </c>
      <c r="AQ133" t="s">
        <v>140</v>
      </c>
      <c r="AR133" t="s">
        <v>140</v>
      </c>
      <c r="AS133" t="s">
        <v>140</v>
      </c>
      <c r="AT133" t="s">
        <v>140</v>
      </c>
      <c r="AU133" t="s">
        <v>140</v>
      </c>
      <c r="AV133" t="s">
        <v>140</v>
      </c>
      <c r="AW133" t="s">
        <v>140</v>
      </c>
      <c r="AX133" t="s">
        <v>140</v>
      </c>
      <c r="AY133" t="s">
        <v>140</v>
      </c>
      <c r="AZ133" t="s">
        <v>140</v>
      </c>
      <c r="BA133" t="s">
        <v>140</v>
      </c>
      <c r="BB133" t="s">
        <v>140</v>
      </c>
      <c r="BC133" t="s">
        <v>140</v>
      </c>
      <c r="BD133" t="s">
        <v>140</v>
      </c>
      <c r="BE133" t="s">
        <v>140</v>
      </c>
      <c r="BF133" t="s">
        <v>140</v>
      </c>
      <c r="BG133" t="s">
        <v>140</v>
      </c>
      <c r="BH133" t="s">
        <v>140</v>
      </c>
      <c r="BI133" t="s">
        <v>140</v>
      </c>
      <c r="BJ133" t="s">
        <v>140</v>
      </c>
      <c r="BK133" t="s">
        <v>140</v>
      </c>
      <c r="BL133" t="s">
        <v>140</v>
      </c>
      <c r="BM133" t="s">
        <v>140</v>
      </c>
      <c r="BN133" t="s">
        <v>140</v>
      </c>
      <c r="BO133" t="s">
        <v>140</v>
      </c>
      <c r="BP133" t="s">
        <v>140</v>
      </c>
      <c r="BQ133" t="s">
        <v>140</v>
      </c>
      <c r="BR133" t="s">
        <v>140</v>
      </c>
      <c r="BS133" t="s">
        <v>140</v>
      </c>
      <c r="BT133" t="s">
        <v>140</v>
      </c>
      <c r="BU133" t="s">
        <v>140</v>
      </c>
      <c r="BV133" t="s">
        <v>140</v>
      </c>
      <c r="BW133" t="s">
        <v>140</v>
      </c>
      <c r="BX133" t="s">
        <v>140</v>
      </c>
      <c r="BY133" t="s">
        <v>140</v>
      </c>
      <c r="BZ133" t="s">
        <v>140</v>
      </c>
      <c r="CA133" t="s">
        <v>140</v>
      </c>
      <c r="CB133" t="s">
        <v>140</v>
      </c>
      <c r="CC133" t="s">
        <v>140</v>
      </c>
      <c r="CD133" t="s">
        <v>140</v>
      </c>
      <c r="CE133" t="s">
        <v>140</v>
      </c>
      <c r="CF133" t="s">
        <v>140</v>
      </c>
      <c r="CG133" t="s">
        <v>140</v>
      </c>
      <c r="CH133" t="s">
        <v>140</v>
      </c>
      <c r="CI133" t="s">
        <v>140</v>
      </c>
      <c r="CJ133" t="s">
        <v>140</v>
      </c>
      <c r="CK133" t="s">
        <v>140</v>
      </c>
      <c r="CL133" t="s">
        <v>140</v>
      </c>
      <c r="CM133" t="s">
        <v>140</v>
      </c>
      <c r="CN133" t="s">
        <v>140</v>
      </c>
      <c r="CO133" t="s">
        <v>140</v>
      </c>
      <c r="CP133" t="s">
        <v>140</v>
      </c>
      <c r="CQ133" t="s">
        <v>140</v>
      </c>
      <c r="CR133" t="s">
        <v>140</v>
      </c>
      <c r="CS133" t="s">
        <v>140</v>
      </c>
      <c r="CT133" t="s">
        <v>140</v>
      </c>
      <c r="CU133" t="s">
        <v>140</v>
      </c>
      <c r="CV133" t="s">
        <v>140</v>
      </c>
      <c r="CW133" t="s">
        <v>140</v>
      </c>
      <c r="CX133" t="s">
        <v>140</v>
      </c>
      <c r="CY133" t="s">
        <v>140</v>
      </c>
      <c r="CZ133" t="s">
        <v>140</v>
      </c>
      <c r="DA133" t="s">
        <v>140</v>
      </c>
      <c r="DB133" t="s">
        <v>140</v>
      </c>
      <c r="DC133" s="1">
        <v>0</v>
      </c>
      <c r="DD133" s="1">
        <v>0</v>
      </c>
      <c r="DE133" s="1">
        <v>0</v>
      </c>
      <c r="DF133" s="1">
        <v>0</v>
      </c>
      <c r="DG133" s="1">
        <v>0</v>
      </c>
      <c r="DH133" s="1">
        <v>0</v>
      </c>
      <c r="DI133" s="1">
        <v>0</v>
      </c>
      <c r="DJ133" s="1">
        <v>0</v>
      </c>
      <c r="DK133" s="1">
        <v>0</v>
      </c>
      <c r="DL133" s="1">
        <v>179</v>
      </c>
      <c r="DM133" s="1">
        <v>0</v>
      </c>
      <c r="DN133" s="1">
        <v>159</v>
      </c>
      <c r="DO133" s="1">
        <v>336</v>
      </c>
      <c r="DP133" s="1">
        <v>209</v>
      </c>
      <c r="DQ133" s="1">
        <v>421</v>
      </c>
      <c r="DR133" s="1">
        <v>240</v>
      </c>
      <c r="DS133" s="1">
        <v>470</v>
      </c>
      <c r="DT133" s="1">
        <v>252</v>
      </c>
      <c r="DU133" s="1">
        <v>492</v>
      </c>
      <c r="DV133" s="1">
        <v>305</v>
      </c>
      <c r="DW133" s="1">
        <v>546</v>
      </c>
      <c r="DX133" s="1">
        <v>420</v>
      </c>
      <c r="DY133" s="1">
        <v>629</v>
      </c>
      <c r="DZ133" s="1">
        <v>0</v>
      </c>
      <c r="EA133" s="1">
        <v>529</v>
      </c>
      <c r="EB133" s="1">
        <v>0</v>
      </c>
      <c r="EC133" s="1">
        <v>0</v>
      </c>
      <c r="ED133" s="1">
        <v>0</v>
      </c>
    </row>
    <row r="134" spans="1:134" x14ac:dyDescent="0.25">
      <c r="A134" t="s">
        <v>252</v>
      </c>
      <c r="B134" s="1">
        <v>0</v>
      </c>
      <c r="C134" s="1">
        <v>0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  <c r="M134" s="1">
        <v>0</v>
      </c>
      <c r="N134" t="s">
        <v>141</v>
      </c>
      <c r="O134" t="s">
        <v>140</v>
      </c>
      <c r="P134" t="s">
        <v>140</v>
      </c>
      <c r="Q134" t="s">
        <v>140</v>
      </c>
      <c r="R134" t="s">
        <v>140</v>
      </c>
      <c r="S134" t="s">
        <v>140</v>
      </c>
      <c r="T134" t="s">
        <v>140</v>
      </c>
      <c r="U134" t="s">
        <v>140</v>
      </c>
      <c r="V134" t="s">
        <v>140</v>
      </c>
      <c r="W134" t="s">
        <v>140</v>
      </c>
      <c r="X134" t="s">
        <v>140</v>
      </c>
      <c r="Y134" t="s">
        <v>140</v>
      </c>
      <c r="Z134" t="s">
        <v>140</v>
      </c>
      <c r="AA134" t="s">
        <v>140</v>
      </c>
      <c r="AB134" t="s">
        <v>140</v>
      </c>
      <c r="AC134" t="s">
        <v>140</v>
      </c>
      <c r="AD134" t="s">
        <v>140</v>
      </c>
      <c r="AE134" t="s">
        <v>140</v>
      </c>
      <c r="AF134" t="s">
        <v>140</v>
      </c>
      <c r="AG134" t="s">
        <v>140</v>
      </c>
      <c r="AH134" t="s">
        <v>140</v>
      </c>
      <c r="AI134" t="s">
        <v>140</v>
      </c>
      <c r="AJ134" t="s">
        <v>140</v>
      </c>
      <c r="AK134" t="s">
        <v>140</v>
      </c>
      <c r="AL134" t="s">
        <v>140</v>
      </c>
      <c r="AM134" t="s">
        <v>140</v>
      </c>
      <c r="AN134" t="s">
        <v>140</v>
      </c>
      <c r="AO134" t="s">
        <v>140</v>
      </c>
      <c r="AP134" t="s">
        <v>140</v>
      </c>
      <c r="AQ134" t="s">
        <v>140</v>
      </c>
      <c r="AR134" t="s">
        <v>140</v>
      </c>
      <c r="AS134" t="s">
        <v>140</v>
      </c>
      <c r="AT134" t="s">
        <v>140</v>
      </c>
      <c r="AU134" t="s">
        <v>140</v>
      </c>
      <c r="AV134" t="s">
        <v>140</v>
      </c>
      <c r="AW134" t="s">
        <v>140</v>
      </c>
      <c r="AX134" t="s">
        <v>140</v>
      </c>
      <c r="AY134" t="s">
        <v>140</v>
      </c>
      <c r="AZ134" t="s">
        <v>140</v>
      </c>
      <c r="BA134" t="s">
        <v>140</v>
      </c>
      <c r="BB134" t="s">
        <v>140</v>
      </c>
      <c r="BC134" t="s">
        <v>140</v>
      </c>
      <c r="BD134" t="s">
        <v>140</v>
      </c>
      <c r="BE134" t="s">
        <v>140</v>
      </c>
      <c r="BF134" t="s">
        <v>140</v>
      </c>
      <c r="BG134" t="s">
        <v>140</v>
      </c>
      <c r="BH134" t="s">
        <v>140</v>
      </c>
      <c r="BI134" t="s">
        <v>140</v>
      </c>
      <c r="BJ134" t="s">
        <v>140</v>
      </c>
      <c r="BK134" t="s">
        <v>140</v>
      </c>
      <c r="BL134" t="s">
        <v>140</v>
      </c>
      <c r="BM134" t="s">
        <v>140</v>
      </c>
      <c r="BN134" t="s">
        <v>140</v>
      </c>
      <c r="BO134" t="s">
        <v>140</v>
      </c>
      <c r="BP134" t="s">
        <v>140</v>
      </c>
      <c r="BQ134" t="s">
        <v>140</v>
      </c>
      <c r="BR134" t="s">
        <v>140</v>
      </c>
      <c r="BS134" t="s">
        <v>140</v>
      </c>
      <c r="BT134" t="s">
        <v>140</v>
      </c>
      <c r="BU134" t="s">
        <v>140</v>
      </c>
      <c r="BV134" t="s">
        <v>140</v>
      </c>
      <c r="BW134" t="s">
        <v>140</v>
      </c>
      <c r="BX134" t="s">
        <v>140</v>
      </c>
      <c r="BY134" t="s">
        <v>140</v>
      </c>
      <c r="BZ134" t="s">
        <v>140</v>
      </c>
      <c r="CA134" t="s">
        <v>140</v>
      </c>
      <c r="CB134" t="s">
        <v>140</v>
      </c>
      <c r="CC134" t="s">
        <v>140</v>
      </c>
      <c r="CD134" t="s">
        <v>140</v>
      </c>
      <c r="CE134" t="s">
        <v>140</v>
      </c>
      <c r="CF134" t="s">
        <v>140</v>
      </c>
      <c r="CG134" t="s">
        <v>140</v>
      </c>
      <c r="CH134" t="s">
        <v>140</v>
      </c>
      <c r="CI134" t="s">
        <v>140</v>
      </c>
      <c r="CJ134" t="s">
        <v>140</v>
      </c>
      <c r="CK134" t="s">
        <v>140</v>
      </c>
      <c r="CL134" t="s">
        <v>140</v>
      </c>
      <c r="CM134" t="s">
        <v>140</v>
      </c>
      <c r="CN134" t="s">
        <v>140</v>
      </c>
      <c r="CO134" t="s">
        <v>140</v>
      </c>
      <c r="CP134" t="s">
        <v>140</v>
      </c>
      <c r="CQ134" t="s">
        <v>140</v>
      </c>
      <c r="CR134" t="s">
        <v>140</v>
      </c>
      <c r="CS134" t="s">
        <v>140</v>
      </c>
      <c r="CT134" t="s">
        <v>140</v>
      </c>
      <c r="CU134" t="s">
        <v>140</v>
      </c>
      <c r="CV134" t="s">
        <v>140</v>
      </c>
      <c r="CW134" t="s">
        <v>140</v>
      </c>
      <c r="CX134" t="s">
        <v>140</v>
      </c>
      <c r="CY134" t="s">
        <v>140</v>
      </c>
      <c r="CZ134" t="s">
        <v>140</v>
      </c>
      <c r="DA134" t="s">
        <v>140</v>
      </c>
      <c r="DB134" t="s">
        <v>140</v>
      </c>
      <c r="DC134" s="1">
        <v>0</v>
      </c>
      <c r="DD134" s="1">
        <v>0</v>
      </c>
      <c r="DE134" s="1">
        <v>0</v>
      </c>
      <c r="DF134" s="1">
        <v>0</v>
      </c>
      <c r="DG134" s="1">
        <v>0</v>
      </c>
      <c r="DH134" s="1">
        <v>0</v>
      </c>
      <c r="DI134" s="1">
        <v>0</v>
      </c>
      <c r="DJ134" s="1">
        <v>0</v>
      </c>
      <c r="DK134" s="1">
        <v>0</v>
      </c>
      <c r="DL134" s="1">
        <v>0</v>
      </c>
      <c r="DM134" s="1">
        <v>0</v>
      </c>
      <c r="DN134" s="1">
        <v>0</v>
      </c>
      <c r="DO134" s="1">
        <v>0</v>
      </c>
      <c r="DP134" s="1">
        <v>0</v>
      </c>
      <c r="DQ134" s="1">
        <v>0</v>
      </c>
      <c r="DR134" s="1">
        <v>0</v>
      </c>
      <c r="DS134" s="1">
        <v>0</v>
      </c>
      <c r="DT134" s="1">
        <v>0</v>
      </c>
      <c r="DU134" s="1">
        <v>0</v>
      </c>
      <c r="DV134" s="1">
        <v>0</v>
      </c>
      <c r="DW134" s="1">
        <v>0</v>
      </c>
      <c r="DX134" s="1">
        <v>0</v>
      </c>
      <c r="DY134" s="1">
        <v>0</v>
      </c>
      <c r="DZ134" s="1">
        <v>0</v>
      </c>
      <c r="EA134" s="1">
        <v>0</v>
      </c>
      <c r="EB134" s="1">
        <v>0</v>
      </c>
      <c r="EC134" s="1">
        <v>0</v>
      </c>
      <c r="ED134" s="1">
        <v>0</v>
      </c>
    </row>
    <row r="135" spans="1:134" x14ac:dyDescent="0.25">
      <c r="A135" t="s">
        <v>253</v>
      </c>
      <c r="B135" s="1">
        <v>814</v>
      </c>
      <c r="C135" s="1">
        <v>2171</v>
      </c>
      <c r="D135" s="1">
        <v>2434</v>
      </c>
      <c r="E135" s="1">
        <v>2690</v>
      </c>
      <c r="F135" s="1">
        <v>2912</v>
      </c>
      <c r="G135" s="1">
        <v>3344</v>
      </c>
      <c r="H135" s="1">
        <v>3571</v>
      </c>
      <c r="I135" s="1">
        <v>4479</v>
      </c>
      <c r="J135" s="1">
        <v>2393</v>
      </c>
      <c r="K135" s="1">
        <v>2560</v>
      </c>
      <c r="L135" s="1">
        <v>2446</v>
      </c>
      <c r="M135" s="1">
        <v>2446</v>
      </c>
      <c r="N135" t="s">
        <v>141</v>
      </c>
      <c r="O135" t="s">
        <v>140</v>
      </c>
      <c r="P135" t="s">
        <v>140</v>
      </c>
      <c r="Q135" t="s">
        <v>140</v>
      </c>
      <c r="R135" t="s">
        <v>140</v>
      </c>
      <c r="S135" t="s">
        <v>140</v>
      </c>
      <c r="T135" t="s">
        <v>140</v>
      </c>
      <c r="U135" t="s">
        <v>140</v>
      </c>
      <c r="V135" t="s">
        <v>140</v>
      </c>
      <c r="W135" t="s">
        <v>140</v>
      </c>
      <c r="X135" t="s">
        <v>140</v>
      </c>
      <c r="Y135" t="s">
        <v>140</v>
      </c>
      <c r="Z135" t="s">
        <v>140</v>
      </c>
      <c r="AA135" t="s">
        <v>140</v>
      </c>
      <c r="AB135" t="s">
        <v>140</v>
      </c>
      <c r="AC135" t="s">
        <v>140</v>
      </c>
      <c r="AD135" t="s">
        <v>140</v>
      </c>
      <c r="AE135" t="s">
        <v>140</v>
      </c>
      <c r="AF135" t="s">
        <v>140</v>
      </c>
      <c r="AG135" t="s">
        <v>140</v>
      </c>
      <c r="AH135" t="s">
        <v>140</v>
      </c>
      <c r="AI135" t="s">
        <v>140</v>
      </c>
      <c r="AJ135" t="s">
        <v>140</v>
      </c>
      <c r="AK135" t="s">
        <v>140</v>
      </c>
      <c r="AL135" t="s">
        <v>140</v>
      </c>
      <c r="AM135" t="s">
        <v>140</v>
      </c>
      <c r="AN135" t="s">
        <v>140</v>
      </c>
      <c r="AO135" t="s">
        <v>140</v>
      </c>
      <c r="AP135" t="s">
        <v>140</v>
      </c>
      <c r="AQ135" t="s">
        <v>140</v>
      </c>
      <c r="AR135" t="s">
        <v>140</v>
      </c>
      <c r="AS135" t="s">
        <v>140</v>
      </c>
      <c r="AT135" t="s">
        <v>140</v>
      </c>
      <c r="AU135" t="s">
        <v>140</v>
      </c>
      <c r="AV135" t="s">
        <v>140</v>
      </c>
      <c r="AW135" t="s">
        <v>140</v>
      </c>
      <c r="AX135" t="s">
        <v>140</v>
      </c>
      <c r="AY135" t="s">
        <v>140</v>
      </c>
      <c r="AZ135" t="s">
        <v>140</v>
      </c>
      <c r="BA135" t="s">
        <v>140</v>
      </c>
      <c r="BB135" t="s">
        <v>140</v>
      </c>
      <c r="BC135" t="s">
        <v>140</v>
      </c>
      <c r="BD135" t="s">
        <v>140</v>
      </c>
      <c r="BE135" t="s">
        <v>140</v>
      </c>
      <c r="BF135" t="s">
        <v>140</v>
      </c>
      <c r="BG135" t="s">
        <v>140</v>
      </c>
      <c r="BH135" t="s">
        <v>140</v>
      </c>
      <c r="BI135" t="s">
        <v>140</v>
      </c>
      <c r="BJ135" t="s">
        <v>140</v>
      </c>
      <c r="BK135" t="s">
        <v>140</v>
      </c>
      <c r="BL135" t="s">
        <v>140</v>
      </c>
      <c r="BM135" t="s">
        <v>140</v>
      </c>
      <c r="BN135" t="s">
        <v>140</v>
      </c>
      <c r="BO135" t="s">
        <v>140</v>
      </c>
      <c r="BP135" t="s">
        <v>140</v>
      </c>
      <c r="BQ135" t="s">
        <v>140</v>
      </c>
      <c r="BR135" t="s">
        <v>140</v>
      </c>
      <c r="BS135" t="s">
        <v>140</v>
      </c>
      <c r="BT135" t="s">
        <v>140</v>
      </c>
      <c r="BU135" t="s">
        <v>140</v>
      </c>
      <c r="BV135" t="s">
        <v>140</v>
      </c>
      <c r="BW135" t="s">
        <v>140</v>
      </c>
      <c r="BX135" t="s">
        <v>140</v>
      </c>
      <c r="BY135" t="s">
        <v>140</v>
      </c>
      <c r="BZ135" t="s">
        <v>140</v>
      </c>
      <c r="CA135" t="s">
        <v>140</v>
      </c>
      <c r="CB135" t="s">
        <v>140</v>
      </c>
      <c r="CC135" t="s">
        <v>140</v>
      </c>
      <c r="CD135" t="s">
        <v>140</v>
      </c>
      <c r="CE135" t="s">
        <v>140</v>
      </c>
      <c r="CF135" t="s">
        <v>140</v>
      </c>
      <c r="CG135" t="s">
        <v>140</v>
      </c>
      <c r="CH135" t="s">
        <v>140</v>
      </c>
      <c r="CI135" t="s">
        <v>140</v>
      </c>
      <c r="CJ135" t="s">
        <v>140</v>
      </c>
      <c r="CK135" t="s">
        <v>140</v>
      </c>
      <c r="CL135" t="s">
        <v>140</v>
      </c>
      <c r="CM135" t="s">
        <v>140</v>
      </c>
      <c r="CN135" t="s">
        <v>140</v>
      </c>
      <c r="CO135" t="s">
        <v>140</v>
      </c>
      <c r="CP135" t="s">
        <v>140</v>
      </c>
      <c r="CQ135" t="s">
        <v>140</v>
      </c>
      <c r="CR135" t="s">
        <v>140</v>
      </c>
      <c r="CS135" t="s">
        <v>140</v>
      </c>
      <c r="CT135" t="s">
        <v>140</v>
      </c>
      <c r="CU135" t="s">
        <v>140</v>
      </c>
      <c r="CV135" t="s">
        <v>140</v>
      </c>
      <c r="CW135" t="s">
        <v>140</v>
      </c>
      <c r="CX135" t="s">
        <v>140</v>
      </c>
      <c r="CY135" t="s">
        <v>140</v>
      </c>
      <c r="CZ135" t="s">
        <v>140</v>
      </c>
      <c r="DA135" t="s">
        <v>140</v>
      </c>
      <c r="DB135" t="s">
        <v>140</v>
      </c>
      <c r="DC135" s="1">
        <v>288</v>
      </c>
      <c r="DD135" s="1">
        <v>318</v>
      </c>
      <c r="DE135" s="1">
        <v>48</v>
      </c>
      <c r="DF135" s="1">
        <v>71</v>
      </c>
      <c r="DG135" s="1">
        <v>0</v>
      </c>
      <c r="DH135" s="1">
        <v>775</v>
      </c>
      <c r="DI135" s="1">
        <v>695</v>
      </c>
      <c r="DJ135" s="1">
        <v>814</v>
      </c>
      <c r="DK135" s="1">
        <v>1131</v>
      </c>
      <c r="DL135" s="1">
        <v>2171</v>
      </c>
      <c r="DM135" s="1">
        <v>1054</v>
      </c>
      <c r="DN135" s="1">
        <v>2434</v>
      </c>
      <c r="DO135" s="1">
        <v>2480</v>
      </c>
      <c r="DP135" s="1">
        <v>2690</v>
      </c>
      <c r="DQ135" s="1">
        <v>3015</v>
      </c>
      <c r="DR135" s="1">
        <v>2912</v>
      </c>
      <c r="DS135" s="1">
        <v>3326</v>
      </c>
      <c r="DT135" s="1">
        <v>3344</v>
      </c>
      <c r="DU135" s="1">
        <v>3534</v>
      </c>
      <c r="DV135" s="1">
        <v>3571</v>
      </c>
      <c r="DW135" s="1">
        <v>4019</v>
      </c>
      <c r="DX135" s="1">
        <v>4479</v>
      </c>
      <c r="DY135" s="1">
        <v>4453</v>
      </c>
      <c r="DZ135" s="1">
        <v>2393</v>
      </c>
      <c r="EA135" s="1">
        <v>5017</v>
      </c>
      <c r="EB135" s="1">
        <v>2560</v>
      </c>
      <c r="EC135" s="1">
        <v>2624</v>
      </c>
      <c r="ED135" s="1">
        <v>2446</v>
      </c>
    </row>
    <row r="136" spans="1:134" x14ac:dyDescent="0.25">
      <c r="A136" t="s">
        <v>254</v>
      </c>
      <c r="B136" s="1">
        <v>4577</v>
      </c>
      <c r="C136" s="1">
        <v>2245</v>
      </c>
      <c r="D136" s="1">
        <v>4198</v>
      </c>
      <c r="E136" s="1">
        <v>5532</v>
      </c>
      <c r="F136" s="1">
        <v>4880</v>
      </c>
      <c r="G136" s="1">
        <v>4387</v>
      </c>
      <c r="H136" s="1">
        <v>4046</v>
      </c>
      <c r="I136" s="1">
        <v>7225</v>
      </c>
      <c r="J136" s="1">
        <v>2585</v>
      </c>
      <c r="K136" s="1">
        <v>7127</v>
      </c>
      <c r="L136" s="1">
        <v>6348</v>
      </c>
      <c r="M136" s="1">
        <v>6348</v>
      </c>
      <c r="N136" t="s">
        <v>141</v>
      </c>
      <c r="O136" t="s">
        <v>140</v>
      </c>
      <c r="P136" t="s">
        <v>140</v>
      </c>
      <c r="Q136" t="s">
        <v>140</v>
      </c>
      <c r="R136" t="s">
        <v>140</v>
      </c>
      <c r="S136" t="s">
        <v>140</v>
      </c>
      <c r="T136" t="s">
        <v>140</v>
      </c>
      <c r="U136" t="s">
        <v>140</v>
      </c>
      <c r="V136" t="s">
        <v>140</v>
      </c>
      <c r="W136" t="s">
        <v>140</v>
      </c>
      <c r="X136" t="s">
        <v>140</v>
      </c>
      <c r="Y136" t="s">
        <v>140</v>
      </c>
      <c r="Z136" t="s">
        <v>140</v>
      </c>
      <c r="AA136" t="s">
        <v>140</v>
      </c>
      <c r="AB136" t="s">
        <v>140</v>
      </c>
      <c r="AC136" t="s">
        <v>140</v>
      </c>
      <c r="AD136" t="s">
        <v>140</v>
      </c>
      <c r="AE136" t="s">
        <v>140</v>
      </c>
      <c r="AF136" t="s">
        <v>140</v>
      </c>
      <c r="AG136" t="s">
        <v>140</v>
      </c>
      <c r="AH136" t="s">
        <v>140</v>
      </c>
      <c r="AI136" t="s">
        <v>140</v>
      </c>
      <c r="AJ136" t="s">
        <v>140</v>
      </c>
      <c r="AK136" t="s">
        <v>140</v>
      </c>
      <c r="AL136" t="s">
        <v>140</v>
      </c>
      <c r="AM136" t="s">
        <v>140</v>
      </c>
      <c r="AN136" t="s">
        <v>140</v>
      </c>
      <c r="AO136" t="s">
        <v>140</v>
      </c>
      <c r="AP136" t="s">
        <v>140</v>
      </c>
      <c r="AQ136" t="s">
        <v>140</v>
      </c>
      <c r="AR136" t="s">
        <v>140</v>
      </c>
      <c r="AS136" t="s">
        <v>140</v>
      </c>
      <c r="AT136" t="s">
        <v>140</v>
      </c>
      <c r="AU136" t="s">
        <v>140</v>
      </c>
      <c r="AV136" t="s">
        <v>140</v>
      </c>
      <c r="AW136" t="s">
        <v>140</v>
      </c>
      <c r="AX136" t="s">
        <v>140</v>
      </c>
      <c r="AY136" t="s">
        <v>140</v>
      </c>
      <c r="AZ136" t="s">
        <v>140</v>
      </c>
      <c r="BA136" t="s">
        <v>140</v>
      </c>
      <c r="BB136" t="s">
        <v>140</v>
      </c>
      <c r="BC136" t="s">
        <v>140</v>
      </c>
      <c r="BD136" t="s">
        <v>140</v>
      </c>
      <c r="BE136" t="s">
        <v>140</v>
      </c>
      <c r="BF136" t="s">
        <v>140</v>
      </c>
      <c r="BG136" t="s">
        <v>140</v>
      </c>
      <c r="BH136" t="s">
        <v>140</v>
      </c>
      <c r="BI136" t="s">
        <v>140</v>
      </c>
      <c r="BJ136" t="s">
        <v>140</v>
      </c>
      <c r="BK136" t="s">
        <v>140</v>
      </c>
      <c r="BL136" t="s">
        <v>140</v>
      </c>
      <c r="BM136" t="s">
        <v>140</v>
      </c>
      <c r="BN136" t="s">
        <v>140</v>
      </c>
      <c r="BO136" t="s">
        <v>140</v>
      </c>
      <c r="BP136" t="s">
        <v>140</v>
      </c>
      <c r="BQ136" t="s">
        <v>140</v>
      </c>
      <c r="BR136" t="s">
        <v>140</v>
      </c>
      <c r="BS136" t="s">
        <v>140</v>
      </c>
      <c r="BT136" t="s">
        <v>140</v>
      </c>
      <c r="BU136" t="s">
        <v>140</v>
      </c>
      <c r="BV136" t="s">
        <v>140</v>
      </c>
      <c r="BW136" t="s">
        <v>140</v>
      </c>
      <c r="BX136" t="s">
        <v>140</v>
      </c>
      <c r="BY136" t="s">
        <v>140</v>
      </c>
      <c r="BZ136" t="s">
        <v>140</v>
      </c>
      <c r="CA136" t="s">
        <v>140</v>
      </c>
      <c r="CB136" t="s">
        <v>140</v>
      </c>
      <c r="CC136" t="s">
        <v>140</v>
      </c>
      <c r="CD136" t="s">
        <v>140</v>
      </c>
      <c r="CE136" t="s">
        <v>140</v>
      </c>
      <c r="CF136" t="s">
        <v>140</v>
      </c>
      <c r="CG136" t="s">
        <v>140</v>
      </c>
      <c r="CH136" t="s">
        <v>140</v>
      </c>
      <c r="CI136" t="s">
        <v>140</v>
      </c>
      <c r="CJ136" t="s">
        <v>140</v>
      </c>
      <c r="CK136" t="s">
        <v>140</v>
      </c>
      <c r="CL136" t="s">
        <v>140</v>
      </c>
      <c r="CM136" t="s">
        <v>140</v>
      </c>
      <c r="CN136" t="s">
        <v>140</v>
      </c>
      <c r="CO136" t="s">
        <v>140</v>
      </c>
      <c r="CP136" t="s">
        <v>140</v>
      </c>
      <c r="CQ136" t="s">
        <v>140</v>
      </c>
      <c r="CR136" t="s">
        <v>140</v>
      </c>
      <c r="CS136" t="s">
        <v>140</v>
      </c>
      <c r="CT136" t="s">
        <v>140</v>
      </c>
      <c r="CU136" t="s">
        <v>140</v>
      </c>
      <c r="CV136" t="s">
        <v>140</v>
      </c>
      <c r="CW136" t="s">
        <v>140</v>
      </c>
      <c r="CX136" t="s">
        <v>140</v>
      </c>
      <c r="CY136" t="s">
        <v>140</v>
      </c>
      <c r="CZ136" t="s">
        <v>140</v>
      </c>
      <c r="DA136" t="s">
        <v>140</v>
      </c>
      <c r="DB136" t="s">
        <v>140</v>
      </c>
      <c r="DC136" s="1">
        <v>12789</v>
      </c>
      <c r="DD136" s="1">
        <v>1056</v>
      </c>
      <c r="DE136" s="1">
        <v>3481</v>
      </c>
      <c r="DF136" s="1">
        <v>1689</v>
      </c>
      <c r="DG136" s="1">
        <v>0</v>
      </c>
      <c r="DH136" s="1">
        <v>1807</v>
      </c>
      <c r="DI136" s="1">
        <v>2104</v>
      </c>
      <c r="DJ136" s="1">
        <v>4577</v>
      </c>
      <c r="DK136" s="1">
        <v>3871</v>
      </c>
      <c r="DL136" s="1">
        <v>2245</v>
      </c>
      <c r="DM136" s="1">
        <v>4093</v>
      </c>
      <c r="DN136" s="1">
        <v>4198</v>
      </c>
      <c r="DO136" s="1">
        <v>4511</v>
      </c>
      <c r="DP136" s="1">
        <v>5532</v>
      </c>
      <c r="DQ136" s="1">
        <v>4937</v>
      </c>
      <c r="DR136" s="1">
        <v>4880</v>
      </c>
      <c r="DS136" s="1">
        <v>6011</v>
      </c>
      <c r="DT136" s="1">
        <v>4387</v>
      </c>
      <c r="DU136" s="1">
        <v>4745</v>
      </c>
      <c r="DV136" s="1">
        <v>4046</v>
      </c>
      <c r="DW136" s="1">
        <v>7099</v>
      </c>
      <c r="DX136" s="1">
        <v>7225</v>
      </c>
      <c r="DY136" s="1">
        <v>7616</v>
      </c>
      <c r="DZ136" s="1">
        <v>2585</v>
      </c>
      <c r="EA136" s="1">
        <v>8707</v>
      </c>
      <c r="EB136" s="1">
        <v>7127</v>
      </c>
      <c r="EC136" s="1">
        <v>7227</v>
      </c>
      <c r="ED136" s="1">
        <v>6348</v>
      </c>
    </row>
    <row r="137" spans="1:134" x14ac:dyDescent="0.25">
      <c r="A137" t="s">
        <v>255</v>
      </c>
      <c r="B137" s="1">
        <v>7782</v>
      </c>
      <c r="C137" s="1">
        <v>12595</v>
      </c>
      <c r="D137" s="1">
        <v>11829</v>
      </c>
      <c r="E137" s="1">
        <v>9699</v>
      </c>
      <c r="F137" s="1">
        <v>15130</v>
      </c>
      <c r="G137" s="1">
        <v>25965</v>
      </c>
      <c r="H137" s="1">
        <v>27197</v>
      </c>
      <c r="I137" s="1">
        <v>23196</v>
      </c>
      <c r="J137" s="1">
        <v>24217</v>
      </c>
      <c r="K137" s="1">
        <v>34598</v>
      </c>
      <c r="L137" s="1">
        <v>38636</v>
      </c>
      <c r="M137" s="1">
        <v>38636</v>
      </c>
      <c r="N137" t="s">
        <v>141</v>
      </c>
      <c r="O137" t="s">
        <v>140</v>
      </c>
      <c r="P137" t="s">
        <v>140</v>
      </c>
      <c r="Q137" t="s">
        <v>140</v>
      </c>
      <c r="R137" t="s">
        <v>140</v>
      </c>
      <c r="S137" t="s">
        <v>140</v>
      </c>
      <c r="T137" t="s">
        <v>140</v>
      </c>
      <c r="U137" t="s">
        <v>140</v>
      </c>
      <c r="V137" t="s">
        <v>140</v>
      </c>
      <c r="W137" t="s">
        <v>140</v>
      </c>
      <c r="X137" t="s">
        <v>140</v>
      </c>
      <c r="Y137" t="s">
        <v>140</v>
      </c>
      <c r="Z137" t="s">
        <v>140</v>
      </c>
      <c r="AA137" t="s">
        <v>140</v>
      </c>
      <c r="AB137" t="s">
        <v>140</v>
      </c>
      <c r="AC137" t="s">
        <v>140</v>
      </c>
      <c r="AD137" t="s">
        <v>140</v>
      </c>
      <c r="AE137" t="s">
        <v>140</v>
      </c>
      <c r="AF137" t="s">
        <v>140</v>
      </c>
      <c r="AG137" t="s">
        <v>140</v>
      </c>
      <c r="AH137" t="s">
        <v>140</v>
      </c>
      <c r="AI137" t="s">
        <v>140</v>
      </c>
      <c r="AJ137" t="s">
        <v>140</v>
      </c>
      <c r="AK137" t="s">
        <v>140</v>
      </c>
      <c r="AL137" t="s">
        <v>140</v>
      </c>
      <c r="AM137" t="s">
        <v>140</v>
      </c>
      <c r="AN137" t="s">
        <v>140</v>
      </c>
      <c r="AO137" t="s">
        <v>140</v>
      </c>
      <c r="AP137" t="s">
        <v>140</v>
      </c>
      <c r="AQ137" t="s">
        <v>140</v>
      </c>
      <c r="AR137" t="s">
        <v>140</v>
      </c>
      <c r="AS137" t="s">
        <v>140</v>
      </c>
      <c r="AT137" t="s">
        <v>140</v>
      </c>
      <c r="AU137" t="s">
        <v>140</v>
      </c>
      <c r="AV137" t="s">
        <v>140</v>
      </c>
      <c r="AW137" t="s">
        <v>140</v>
      </c>
      <c r="AX137" t="s">
        <v>140</v>
      </c>
      <c r="AY137" t="s">
        <v>140</v>
      </c>
      <c r="AZ137" t="s">
        <v>140</v>
      </c>
      <c r="BA137" t="s">
        <v>140</v>
      </c>
      <c r="BB137" t="s">
        <v>140</v>
      </c>
      <c r="BC137" t="s">
        <v>140</v>
      </c>
      <c r="BD137" t="s">
        <v>140</v>
      </c>
      <c r="BE137" t="s">
        <v>140</v>
      </c>
      <c r="BF137" t="s">
        <v>140</v>
      </c>
      <c r="BG137" t="s">
        <v>140</v>
      </c>
      <c r="BH137" t="s">
        <v>140</v>
      </c>
      <c r="BI137" t="s">
        <v>140</v>
      </c>
      <c r="BJ137" t="s">
        <v>140</v>
      </c>
      <c r="BK137" t="s">
        <v>140</v>
      </c>
      <c r="BL137" t="s">
        <v>140</v>
      </c>
      <c r="BM137" t="s">
        <v>140</v>
      </c>
      <c r="BN137" t="s">
        <v>140</v>
      </c>
      <c r="BO137" t="s">
        <v>140</v>
      </c>
      <c r="BP137" t="s">
        <v>140</v>
      </c>
      <c r="BQ137" t="s">
        <v>140</v>
      </c>
      <c r="BR137" t="s">
        <v>140</v>
      </c>
      <c r="BS137" t="s">
        <v>140</v>
      </c>
      <c r="BT137" t="s">
        <v>140</v>
      </c>
      <c r="BU137" t="s">
        <v>140</v>
      </c>
      <c r="BV137" t="s">
        <v>140</v>
      </c>
      <c r="BW137" t="s">
        <v>140</v>
      </c>
      <c r="BX137" t="s">
        <v>140</v>
      </c>
      <c r="BY137" t="s">
        <v>140</v>
      </c>
      <c r="BZ137" t="s">
        <v>140</v>
      </c>
      <c r="CA137" t="s">
        <v>140</v>
      </c>
      <c r="CB137" t="s">
        <v>140</v>
      </c>
      <c r="CC137" t="s">
        <v>140</v>
      </c>
      <c r="CD137" t="s">
        <v>140</v>
      </c>
      <c r="CE137" t="s">
        <v>140</v>
      </c>
      <c r="CF137" t="s">
        <v>140</v>
      </c>
      <c r="CG137" t="s">
        <v>140</v>
      </c>
      <c r="CH137" t="s">
        <v>140</v>
      </c>
      <c r="CI137" t="s">
        <v>140</v>
      </c>
      <c r="CJ137" t="s">
        <v>140</v>
      </c>
      <c r="CK137" t="s">
        <v>140</v>
      </c>
      <c r="CL137" t="s">
        <v>140</v>
      </c>
      <c r="CM137" t="s">
        <v>140</v>
      </c>
      <c r="CN137" t="s">
        <v>140</v>
      </c>
      <c r="CO137" t="s">
        <v>140</v>
      </c>
      <c r="CP137" t="s">
        <v>140</v>
      </c>
      <c r="CQ137" t="s">
        <v>140</v>
      </c>
      <c r="CR137" t="s">
        <v>140</v>
      </c>
      <c r="CS137" t="s">
        <v>140</v>
      </c>
      <c r="CT137" t="s">
        <v>140</v>
      </c>
      <c r="CU137" t="s">
        <v>140</v>
      </c>
      <c r="CV137" t="s">
        <v>140</v>
      </c>
      <c r="CW137" t="s">
        <v>140</v>
      </c>
      <c r="CX137" t="s">
        <v>140</v>
      </c>
      <c r="CY137" t="s">
        <v>140</v>
      </c>
      <c r="CZ137" t="s">
        <v>140</v>
      </c>
      <c r="DA137" t="s">
        <v>140</v>
      </c>
      <c r="DB137" t="s">
        <v>140</v>
      </c>
      <c r="DC137" s="1">
        <v>0</v>
      </c>
      <c r="DD137" s="1">
        <v>12177</v>
      </c>
      <c r="DE137" s="1">
        <v>9986</v>
      </c>
      <c r="DF137" s="1">
        <v>11538</v>
      </c>
      <c r="DG137" s="1">
        <v>0</v>
      </c>
      <c r="DH137" s="1">
        <v>10867</v>
      </c>
      <c r="DI137" s="1">
        <v>10476</v>
      </c>
      <c r="DJ137" s="1">
        <v>7782</v>
      </c>
      <c r="DK137" s="1">
        <v>10704</v>
      </c>
      <c r="DL137" s="1">
        <v>12595</v>
      </c>
      <c r="DM137" s="1">
        <v>11355</v>
      </c>
      <c r="DN137" s="1">
        <v>11829</v>
      </c>
      <c r="DO137" s="1">
        <v>10055</v>
      </c>
      <c r="DP137" s="1">
        <v>9699</v>
      </c>
      <c r="DQ137" s="1">
        <v>12417</v>
      </c>
      <c r="DR137" s="1">
        <v>15130</v>
      </c>
      <c r="DS137" s="1">
        <v>24020</v>
      </c>
      <c r="DT137" s="1">
        <v>25965</v>
      </c>
      <c r="DU137" s="1">
        <v>28629</v>
      </c>
      <c r="DV137" s="1">
        <v>27197</v>
      </c>
      <c r="DW137" s="1">
        <v>30456</v>
      </c>
      <c r="DX137" s="1">
        <v>23196</v>
      </c>
      <c r="DY137" s="1">
        <v>19124</v>
      </c>
      <c r="DZ137" s="1">
        <v>24217</v>
      </c>
      <c r="EA137" s="1">
        <v>24232</v>
      </c>
      <c r="EB137" s="1">
        <v>34598</v>
      </c>
      <c r="EC137" s="1">
        <v>36029</v>
      </c>
      <c r="ED137" s="1">
        <v>38636</v>
      </c>
    </row>
    <row r="138" spans="1:134" x14ac:dyDescent="0.25">
      <c r="A138" t="s">
        <v>256</v>
      </c>
      <c r="B138" s="1">
        <v>0</v>
      </c>
      <c r="C138" s="1">
        <v>0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  <c r="M138" s="1">
        <v>0</v>
      </c>
      <c r="N138" t="s">
        <v>141</v>
      </c>
      <c r="O138" t="s">
        <v>140</v>
      </c>
      <c r="P138" t="s">
        <v>140</v>
      </c>
      <c r="Q138" t="s">
        <v>140</v>
      </c>
      <c r="R138" t="s">
        <v>140</v>
      </c>
      <c r="S138" t="s">
        <v>140</v>
      </c>
      <c r="T138" t="s">
        <v>140</v>
      </c>
      <c r="U138" t="s">
        <v>140</v>
      </c>
      <c r="V138" t="s">
        <v>140</v>
      </c>
      <c r="W138" t="s">
        <v>140</v>
      </c>
      <c r="X138" t="s">
        <v>140</v>
      </c>
      <c r="Y138" t="s">
        <v>140</v>
      </c>
      <c r="Z138" t="s">
        <v>140</v>
      </c>
      <c r="AA138" t="s">
        <v>140</v>
      </c>
      <c r="AB138" t="s">
        <v>140</v>
      </c>
      <c r="AC138" t="s">
        <v>140</v>
      </c>
      <c r="AD138" t="s">
        <v>140</v>
      </c>
      <c r="AE138" t="s">
        <v>140</v>
      </c>
      <c r="AF138" t="s">
        <v>140</v>
      </c>
      <c r="AG138" t="s">
        <v>140</v>
      </c>
      <c r="AH138" t="s">
        <v>140</v>
      </c>
      <c r="AI138" t="s">
        <v>140</v>
      </c>
      <c r="AJ138" t="s">
        <v>140</v>
      </c>
      <c r="AK138" t="s">
        <v>140</v>
      </c>
      <c r="AL138" t="s">
        <v>140</v>
      </c>
      <c r="AM138" t="s">
        <v>140</v>
      </c>
      <c r="AN138" t="s">
        <v>140</v>
      </c>
      <c r="AO138" t="s">
        <v>140</v>
      </c>
      <c r="AP138" t="s">
        <v>140</v>
      </c>
      <c r="AQ138" t="s">
        <v>140</v>
      </c>
      <c r="AR138" t="s">
        <v>140</v>
      </c>
      <c r="AS138" t="s">
        <v>140</v>
      </c>
      <c r="AT138" t="s">
        <v>140</v>
      </c>
      <c r="AU138" t="s">
        <v>140</v>
      </c>
      <c r="AV138" t="s">
        <v>140</v>
      </c>
      <c r="AW138" t="s">
        <v>140</v>
      </c>
      <c r="AX138" t="s">
        <v>140</v>
      </c>
      <c r="AY138" t="s">
        <v>140</v>
      </c>
      <c r="AZ138" t="s">
        <v>140</v>
      </c>
      <c r="BA138" t="s">
        <v>140</v>
      </c>
      <c r="BB138" t="s">
        <v>140</v>
      </c>
      <c r="BC138" t="s">
        <v>140</v>
      </c>
      <c r="BD138" t="s">
        <v>140</v>
      </c>
      <c r="BE138" t="s">
        <v>140</v>
      </c>
      <c r="BF138" t="s">
        <v>140</v>
      </c>
      <c r="BG138" t="s">
        <v>140</v>
      </c>
      <c r="BH138" t="s">
        <v>140</v>
      </c>
      <c r="BI138" t="s">
        <v>140</v>
      </c>
      <c r="BJ138" t="s">
        <v>140</v>
      </c>
      <c r="BK138" t="s">
        <v>140</v>
      </c>
      <c r="BL138" t="s">
        <v>140</v>
      </c>
      <c r="BM138" t="s">
        <v>140</v>
      </c>
      <c r="BN138" t="s">
        <v>140</v>
      </c>
      <c r="BO138" t="s">
        <v>140</v>
      </c>
      <c r="BP138" t="s">
        <v>140</v>
      </c>
      <c r="BQ138" t="s">
        <v>140</v>
      </c>
      <c r="BR138" t="s">
        <v>140</v>
      </c>
      <c r="BS138" t="s">
        <v>140</v>
      </c>
      <c r="BT138" t="s">
        <v>140</v>
      </c>
      <c r="BU138" t="s">
        <v>140</v>
      </c>
      <c r="BV138" t="s">
        <v>140</v>
      </c>
      <c r="BW138" t="s">
        <v>140</v>
      </c>
      <c r="BX138" t="s">
        <v>140</v>
      </c>
      <c r="BY138" t="s">
        <v>140</v>
      </c>
      <c r="BZ138" t="s">
        <v>140</v>
      </c>
      <c r="CA138" t="s">
        <v>140</v>
      </c>
      <c r="CB138" t="s">
        <v>140</v>
      </c>
      <c r="CC138" t="s">
        <v>140</v>
      </c>
      <c r="CD138" t="s">
        <v>140</v>
      </c>
      <c r="CE138" t="s">
        <v>140</v>
      </c>
      <c r="CF138" t="s">
        <v>140</v>
      </c>
      <c r="CG138" t="s">
        <v>140</v>
      </c>
      <c r="CH138" t="s">
        <v>140</v>
      </c>
      <c r="CI138" t="s">
        <v>140</v>
      </c>
      <c r="CJ138" t="s">
        <v>140</v>
      </c>
      <c r="CK138" t="s">
        <v>140</v>
      </c>
      <c r="CL138" t="s">
        <v>140</v>
      </c>
      <c r="CM138" t="s">
        <v>140</v>
      </c>
      <c r="CN138" t="s">
        <v>140</v>
      </c>
      <c r="CO138" t="s">
        <v>140</v>
      </c>
      <c r="CP138" t="s">
        <v>140</v>
      </c>
      <c r="CQ138" t="s">
        <v>140</v>
      </c>
      <c r="CR138" t="s">
        <v>140</v>
      </c>
      <c r="CS138" t="s">
        <v>140</v>
      </c>
      <c r="CT138" t="s">
        <v>140</v>
      </c>
      <c r="CU138" t="s">
        <v>140</v>
      </c>
      <c r="CV138" t="s">
        <v>140</v>
      </c>
      <c r="CW138" t="s">
        <v>140</v>
      </c>
      <c r="CX138" t="s">
        <v>140</v>
      </c>
      <c r="CY138" t="s">
        <v>140</v>
      </c>
      <c r="CZ138" t="s">
        <v>140</v>
      </c>
      <c r="DA138" t="s">
        <v>140</v>
      </c>
      <c r="DB138" t="s">
        <v>140</v>
      </c>
      <c r="DC138" s="1">
        <v>0</v>
      </c>
      <c r="DD138" s="1">
        <v>0</v>
      </c>
      <c r="DE138" s="1">
        <v>0</v>
      </c>
      <c r="DF138" s="1">
        <v>0</v>
      </c>
      <c r="DG138" s="1">
        <v>0</v>
      </c>
      <c r="DH138" s="1">
        <v>0</v>
      </c>
      <c r="DI138" s="1">
        <v>0</v>
      </c>
      <c r="DJ138" s="1">
        <v>0</v>
      </c>
      <c r="DK138" s="1">
        <v>0</v>
      </c>
      <c r="DL138" s="1">
        <v>0</v>
      </c>
      <c r="DM138" s="1">
        <v>0</v>
      </c>
      <c r="DN138" s="1">
        <v>0</v>
      </c>
      <c r="DO138" s="1">
        <v>0</v>
      </c>
      <c r="DP138" s="1">
        <v>0</v>
      </c>
      <c r="DQ138" s="1">
        <v>0</v>
      </c>
      <c r="DR138" s="1">
        <v>0</v>
      </c>
      <c r="DS138" s="1">
        <v>0</v>
      </c>
      <c r="DT138" s="1">
        <v>0</v>
      </c>
      <c r="DU138" s="1">
        <v>0</v>
      </c>
      <c r="DV138" s="1">
        <v>0</v>
      </c>
      <c r="DW138" s="1">
        <v>0</v>
      </c>
      <c r="DX138" s="1">
        <v>0</v>
      </c>
      <c r="DY138" s="1">
        <v>0</v>
      </c>
      <c r="DZ138" s="1">
        <v>0</v>
      </c>
      <c r="EA138" s="1">
        <v>0</v>
      </c>
      <c r="EB138" s="1">
        <v>0</v>
      </c>
      <c r="EC138" s="1">
        <v>0</v>
      </c>
      <c r="ED138" s="1">
        <v>0</v>
      </c>
    </row>
    <row r="139" spans="1:134" x14ac:dyDescent="0.25">
      <c r="A139" t="s">
        <v>257</v>
      </c>
      <c r="B139" s="1">
        <v>7782</v>
      </c>
      <c r="C139" s="1">
        <v>12595</v>
      </c>
      <c r="D139" s="1">
        <v>11829</v>
      </c>
      <c r="E139" s="1">
        <v>9699</v>
      </c>
      <c r="F139" s="1">
        <v>15130</v>
      </c>
      <c r="G139" s="1">
        <v>25965</v>
      </c>
      <c r="H139" s="1">
        <v>27197</v>
      </c>
      <c r="I139" s="1">
        <v>23196</v>
      </c>
      <c r="J139" s="1">
        <v>24217</v>
      </c>
      <c r="K139" s="1">
        <v>34598</v>
      </c>
      <c r="L139" s="1">
        <v>38636</v>
      </c>
      <c r="M139" s="1">
        <v>38636</v>
      </c>
      <c r="N139" t="s">
        <v>141</v>
      </c>
      <c r="O139" t="s">
        <v>140</v>
      </c>
      <c r="P139" t="s">
        <v>140</v>
      </c>
      <c r="Q139" t="s">
        <v>140</v>
      </c>
      <c r="R139" t="s">
        <v>140</v>
      </c>
      <c r="S139" t="s">
        <v>140</v>
      </c>
      <c r="T139" t="s">
        <v>140</v>
      </c>
      <c r="U139" t="s">
        <v>140</v>
      </c>
      <c r="V139" t="s">
        <v>140</v>
      </c>
      <c r="W139" t="s">
        <v>140</v>
      </c>
      <c r="X139" t="s">
        <v>140</v>
      </c>
      <c r="Y139" t="s">
        <v>140</v>
      </c>
      <c r="Z139" t="s">
        <v>140</v>
      </c>
      <c r="AA139" t="s">
        <v>140</v>
      </c>
      <c r="AB139" t="s">
        <v>140</v>
      </c>
      <c r="AC139" t="s">
        <v>140</v>
      </c>
      <c r="AD139" t="s">
        <v>140</v>
      </c>
      <c r="AE139" t="s">
        <v>140</v>
      </c>
      <c r="AF139" t="s">
        <v>140</v>
      </c>
      <c r="AG139" t="s">
        <v>140</v>
      </c>
      <c r="AH139" t="s">
        <v>140</v>
      </c>
      <c r="AI139" t="s">
        <v>140</v>
      </c>
      <c r="AJ139" t="s">
        <v>140</v>
      </c>
      <c r="AK139" t="s">
        <v>140</v>
      </c>
      <c r="AL139" t="s">
        <v>140</v>
      </c>
      <c r="AM139" t="s">
        <v>140</v>
      </c>
      <c r="AN139" t="s">
        <v>140</v>
      </c>
      <c r="AO139" t="s">
        <v>140</v>
      </c>
      <c r="AP139" t="s">
        <v>140</v>
      </c>
      <c r="AQ139" t="s">
        <v>140</v>
      </c>
      <c r="AR139" t="s">
        <v>140</v>
      </c>
      <c r="AS139" t="s">
        <v>140</v>
      </c>
      <c r="AT139" t="s">
        <v>140</v>
      </c>
      <c r="AU139" t="s">
        <v>140</v>
      </c>
      <c r="AV139" t="s">
        <v>140</v>
      </c>
      <c r="AW139" t="s">
        <v>140</v>
      </c>
      <c r="AX139" t="s">
        <v>140</v>
      </c>
      <c r="AY139" t="s">
        <v>140</v>
      </c>
      <c r="AZ139" t="s">
        <v>140</v>
      </c>
      <c r="BA139" t="s">
        <v>140</v>
      </c>
      <c r="BB139" t="s">
        <v>140</v>
      </c>
      <c r="BC139" t="s">
        <v>140</v>
      </c>
      <c r="BD139" t="s">
        <v>140</v>
      </c>
      <c r="BE139" t="s">
        <v>140</v>
      </c>
      <c r="BF139" t="s">
        <v>140</v>
      </c>
      <c r="BG139" t="s">
        <v>140</v>
      </c>
      <c r="BH139" t="s">
        <v>140</v>
      </c>
      <c r="BI139" t="s">
        <v>140</v>
      </c>
      <c r="BJ139" t="s">
        <v>140</v>
      </c>
      <c r="BK139" t="s">
        <v>140</v>
      </c>
      <c r="BL139" t="s">
        <v>140</v>
      </c>
      <c r="BM139" t="s">
        <v>140</v>
      </c>
      <c r="BN139" t="s">
        <v>140</v>
      </c>
      <c r="BO139" t="s">
        <v>140</v>
      </c>
      <c r="BP139" t="s">
        <v>140</v>
      </c>
      <c r="BQ139" t="s">
        <v>140</v>
      </c>
      <c r="BR139" t="s">
        <v>140</v>
      </c>
      <c r="BS139" t="s">
        <v>140</v>
      </c>
      <c r="BT139" t="s">
        <v>140</v>
      </c>
      <c r="BU139" t="s">
        <v>140</v>
      </c>
      <c r="BV139" t="s">
        <v>140</v>
      </c>
      <c r="BW139" t="s">
        <v>140</v>
      </c>
      <c r="BX139" t="s">
        <v>140</v>
      </c>
      <c r="BY139" t="s">
        <v>140</v>
      </c>
      <c r="BZ139" t="s">
        <v>140</v>
      </c>
      <c r="CA139" t="s">
        <v>140</v>
      </c>
      <c r="CB139" t="s">
        <v>140</v>
      </c>
      <c r="CC139" t="s">
        <v>140</v>
      </c>
      <c r="CD139" t="s">
        <v>140</v>
      </c>
      <c r="CE139" t="s">
        <v>140</v>
      </c>
      <c r="CF139" t="s">
        <v>140</v>
      </c>
      <c r="CG139" t="s">
        <v>140</v>
      </c>
      <c r="CH139" t="s">
        <v>140</v>
      </c>
      <c r="CI139" t="s">
        <v>140</v>
      </c>
      <c r="CJ139" t="s">
        <v>140</v>
      </c>
      <c r="CK139" t="s">
        <v>140</v>
      </c>
      <c r="CL139" t="s">
        <v>140</v>
      </c>
      <c r="CM139" t="s">
        <v>140</v>
      </c>
      <c r="CN139" t="s">
        <v>140</v>
      </c>
      <c r="CO139" t="s">
        <v>140</v>
      </c>
      <c r="CP139" t="s">
        <v>140</v>
      </c>
      <c r="CQ139" t="s">
        <v>140</v>
      </c>
      <c r="CR139" t="s">
        <v>140</v>
      </c>
      <c r="CS139" t="s">
        <v>140</v>
      </c>
      <c r="CT139" t="s">
        <v>140</v>
      </c>
      <c r="CU139" t="s">
        <v>140</v>
      </c>
      <c r="CV139" t="s">
        <v>140</v>
      </c>
      <c r="CW139" t="s">
        <v>140</v>
      </c>
      <c r="CX139" t="s">
        <v>140</v>
      </c>
      <c r="CY139" t="s">
        <v>140</v>
      </c>
      <c r="CZ139" t="s">
        <v>140</v>
      </c>
      <c r="DA139" t="s">
        <v>140</v>
      </c>
      <c r="DB139" t="s">
        <v>140</v>
      </c>
      <c r="DC139" s="1">
        <v>0</v>
      </c>
      <c r="DD139" s="1">
        <v>12177</v>
      </c>
      <c r="DE139" s="1">
        <v>9986</v>
      </c>
      <c r="DF139" s="1">
        <v>11538</v>
      </c>
      <c r="DG139" s="1">
        <v>0</v>
      </c>
      <c r="DH139" s="1">
        <v>10867</v>
      </c>
      <c r="DI139" s="1">
        <v>10476</v>
      </c>
      <c r="DJ139" s="1">
        <v>7782</v>
      </c>
      <c r="DK139" s="1">
        <v>10704</v>
      </c>
      <c r="DL139" s="1">
        <v>12595</v>
      </c>
      <c r="DM139" s="1">
        <v>11355</v>
      </c>
      <c r="DN139" s="1">
        <v>11829</v>
      </c>
      <c r="DO139" s="1">
        <v>10055</v>
      </c>
      <c r="DP139" s="1">
        <v>9699</v>
      </c>
      <c r="DQ139" s="1">
        <v>12417</v>
      </c>
      <c r="DR139" s="1">
        <v>15130</v>
      </c>
      <c r="DS139" s="1">
        <v>24020</v>
      </c>
      <c r="DT139" s="1">
        <v>25965</v>
      </c>
      <c r="DU139" s="1">
        <v>28629</v>
      </c>
      <c r="DV139" s="1">
        <v>27197</v>
      </c>
      <c r="DW139" s="1">
        <v>30456</v>
      </c>
      <c r="DX139" s="1">
        <v>23196</v>
      </c>
      <c r="DY139" s="1">
        <v>19124</v>
      </c>
      <c r="DZ139" s="1">
        <v>24217</v>
      </c>
      <c r="EA139" s="1">
        <v>24232</v>
      </c>
      <c r="EB139" s="1">
        <v>34598</v>
      </c>
      <c r="EC139" s="1">
        <v>36029</v>
      </c>
      <c r="ED139" s="1">
        <v>38636</v>
      </c>
    </row>
    <row r="140" spans="1:134" x14ac:dyDescent="0.25">
      <c r="A140" t="s">
        <v>258</v>
      </c>
      <c r="B140" s="1">
        <v>29</v>
      </c>
      <c r="C140" s="1">
        <v>35</v>
      </c>
      <c r="D140" s="1">
        <v>52</v>
      </c>
      <c r="E140" s="1">
        <v>32</v>
      </c>
      <c r="F140" s="1">
        <v>43</v>
      </c>
      <c r="G140" s="1">
        <v>36</v>
      </c>
      <c r="H140" s="1">
        <v>37</v>
      </c>
      <c r="I140" s="1">
        <v>50</v>
      </c>
      <c r="J140" s="1">
        <v>200</v>
      </c>
      <c r="K140" s="1">
        <v>136</v>
      </c>
      <c r="L140" s="1">
        <v>82</v>
      </c>
      <c r="M140" s="1">
        <v>82</v>
      </c>
      <c r="N140" t="s">
        <v>141</v>
      </c>
      <c r="O140" t="s">
        <v>140</v>
      </c>
      <c r="P140" t="s">
        <v>140</v>
      </c>
      <c r="Q140" t="s">
        <v>140</v>
      </c>
      <c r="R140" t="s">
        <v>140</v>
      </c>
      <c r="S140" t="s">
        <v>140</v>
      </c>
      <c r="T140" t="s">
        <v>140</v>
      </c>
      <c r="U140" t="s">
        <v>140</v>
      </c>
      <c r="V140" t="s">
        <v>140</v>
      </c>
      <c r="W140" t="s">
        <v>140</v>
      </c>
      <c r="X140" t="s">
        <v>140</v>
      </c>
      <c r="Y140" t="s">
        <v>140</v>
      </c>
      <c r="Z140" t="s">
        <v>140</v>
      </c>
      <c r="AA140" t="s">
        <v>140</v>
      </c>
      <c r="AB140" t="s">
        <v>140</v>
      </c>
      <c r="AC140" t="s">
        <v>140</v>
      </c>
      <c r="AD140" t="s">
        <v>140</v>
      </c>
      <c r="AE140" t="s">
        <v>140</v>
      </c>
      <c r="AF140" t="s">
        <v>140</v>
      </c>
      <c r="AG140" t="s">
        <v>140</v>
      </c>
      <c r="AH140" t="s">
        <v>140</v>
      </c>
      <c r="AI140" t="s">
        <v>140</v>
      </c>
      <c r="AJ140" t="s">
        <v>140</v>
      </c>
      <c r="AK140" t="s">
        <v>140</v>
      </c>
      <c r="AL140" t="s">
        <v>140</v>
      </c>
      <c r="AM140" t="s">
        <v>140</v>
      </c>
      <c r="AN140" t="s">
        <v>140</v>
      </c>
      <c r="AO140" t="s">
        <v>140</v>
      </c>
      <c r="AP140" t="s">
        <v>140</v>
      </c>
      <c r="AQ140" t="s">
        <v>140</v>
      </c>
      <c r="AR140" t="s">
        <v>140</v>
      </c>
      <c r="AS140" t="s">
        <v>140</v>
      </c>
      <c r="AT140" t="s">
        <v>140</v>
      </c>
      <c r="AU140" t="s">
        <v>140</v>
      </c>
      <c r="AV140" t="s">
        <v>140</v>
      </c>
      <c r="AW140" t="s">
        <v>140</v>
      </c>
      <c r="AX140" t="s">
        <v>140</v>
      </c>
      <c r="AY140" t="s">
        <v>140</v>
      </c>
      <c r="AZ140" t="s">
        <v>140</v>
      </c>
      <c r="BA140" t="s">
        <v>140</v>
      </c>
      <c r="BB140" t="s">
        <v>140</v>
      </c>
      <c r="BC140" t="s">
        <v>140</v>
      </c>
      <c r="BD140" t="s">
        <v>140</v>
      </c>
      <c r="BE140" t="s">
        <v>140</v>
      </c>
      <c r="BF140" t="s">
        <v>140</v>
      </c>
      <c r="BG140" t="s">
        <v>140</v>
      </c>
      <c r="BH140" t="s">
        <v>140</v>
      </c>
      <c r="BI140" t="s">
        <v>140</v>
      </c>
      <c r="BJ140" t="s">
        <v>140</v>
      </c>
      <c r="BK140" t="s">
        <v>140</v>
      </c>
      <c r="BL140" t="s">
        <v>140</v>
      </c>
      <c r="BM140" t="s">
        <v>140</v>
      </c>
      <c r="BN140" t="s">
        <v>140</v>
      </c>
      <c r="BO140" t="s">
        <v>140</v>
      </c>
      <c r="BP140" t="s">
        <v>140</v>
      </c>
      <c r="BQ140" t="s">
        <v>140</v>
      </c>
      <c r="BR140" t="s">
        <v>140</v>
      </c>
      <c r="BS140" t="s">
        <v>140</v>
      </c>
      <c r="BT140" t="s">
        <v>140</v>
      </c>
      <c r="BU140" t="s">
        <v>140</v>
      </c>
      <c r="BV140" t="s">
        <v>140</v>
      </c>
      <c r="BW140" t="s">
        <v>140</v>
      </c>
      <c r="BX140" t="s">
        <v>140</v>
      </c>
      <c r="BY140" t="s">
        <v>140</v>
      </c>
      <c r="BZ140" t="s">
        <v>140</v>
      </c>
      <c r="CA140" t="s">
        <v>140</v>
      </c>
      <c r="CB140" t="s">
        <v>140</v>
      </c>
      <c r="CC140" t="s">
        <v>140</v>
      </c>
      <c r="CD140" t="s">
        <v>140</v>
      </c>
      <c r="CE140" t="s">
        <v>140</v>
      </c>
      <c r="CF140" t="s">
        <v>140</v>
      </c>
      <c r="CG140" t="s">
        <v>140</v>
      </c>
      <c r="CH140" t="s">
        <v>140</v>
      </c>
      <c r="CI140" t="s">
        <v>140</v>
      </c>
      <c r="CJ140" t="s">
        <v>140</v>
      </c>
      <c r="CK140" t="s">
        <v>140</v>
      </c>
      <c r="CL140" t="s">
        <v>140</v>
      </c>
      <c r="CM140" t="s">
        <v>140</v>
      </c>
      <c r="CN140" t="s">
        <v>140</v>
      </c>
      <c r="CO140" t="s">
        <v>140</v>
      </c>
      <c r="CP140" t="s">
        <v>140</v>
      </c>
      <c r="CQ140" t="s">
        <v>140</v>
      </c>
      <c r="CR140" t="s">
        <v>140</v>
      </c>
      <c r="CS140" t="s">
        <v>140</v>
      </c>
      <c r="CT140" t="s">
        <v>140</v>
      </c>
      <c r="CU140" t="s">
        <v>140</v>
      </c>
      <c r="CV140" t="s">
        <v>140</v>
      </c>
      <c r="CW140" t="s">
        <v>140</v>
      </c>
      <c r="CX140" t="s">
        <v>140</v>
      </c>
      <c r="CY140" t="s">
        <v>140</v>
      </c>
      <c r="CZ140" t="s">
        <v>140</v>
      </c>
      <c r="DA140" t="s">
        <v>140</v>
      </c>
      <c r="DB140" t="s">
        <v>140</v>
      </c>
      <c r="DC140" s="1">
        <v>0</v>
      </c>
      <c r="DD140" s="1">
        <v>0</v>
      </c>
      <c r="DE140" s="1">
        <v>0</v>
      </c>
      <c r="DF140" s="1">
        <v>0</v>
      </c>
      <c r="DG140" s="1">
        <v>0</v>
      </c>
      <c r="DH140" s="1">
        <v>0</v>
      </c>
      <c r="DI140" s="1">
        <v>0</v>
      </c>
      <c r="DJ140" s="1">
        <v>29</v>
      </c>
      <c r="DK140" s="1">
        <v>14</v>
      </c>
      <c r="DL140" s="1">
        <v>35</v>
      </c>
      <c r="DM140" s="1">
        <v>22</v>
      </c>
      <c r="DN140" s="1">
        <v>52</v>
      </c>
      <c r="DO140" s="1">
        <v>18</v>
      </c>
      <c r="DP140" s="1">
        <v>32</v>
      </c>
      <c r="DQ140" s="1">
        <v>18</v>
      </c>
      <c r="DR140" s="1">
        <v>43</v>
      </c>
      <c r="DS140" s="1">
        <v>18</v>
      </c>
      <c r="DT140" s="1">
        <v>36</v>
      </c>
      <c r="DU140" s="1">
        <v>20</v>
      </c>
      <c r="DV140" s="1">
        <v>37</v>
      </c>
      <c r="DW140" s="1">
        <v>24</v>
      </c>
      <c r="DX140" s="1">
        <v>50</v>
      </c>
      <c r="DY140" s="1">
        <v>36</v>
      </c>
      <c r="DZ140" s="1">
        <v>200</v>
      </c>
      <c r="EA140" s="1">
        <v>56</v>
      </c>
      <c r="EB140" s="1">
        <v>136</v>
      </c>
      <c r="EC140" s="1">
        <v>45</v>
      </c>
      <c r="ED140" s="1">
        <v>82</v>
      </c>
    </row>
    <row r="141" spans="1:134" x14ac:dyDescent="0.25">
      <c r="A141" t="s">
        <v>259</v>
      </c>
      <c r="B141" s="1">
        <v>0</v>
      </c>
      <c r="C141" s="1">
        <v>0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  <c r="M141" s="1">
        <v>0</v>
      </c>
      <c r="N141" t="s">
        <v>141</v>
      </c>
      <c r="O141" t="s">
        <v>140</v>
      </c>
      <c r="P141" t="s">
        <v>140</v>
      </c>
      <c r="Q141" t="s">
        <v>140</v>
      </c>
      <c r="R141" t="s">
        <v>140</v>
      </c>
      <c r="S141" t="s">
        <v>140</v>
      </c>
      <c r="T141" t="s">
        <v>140</v>
      </c>
      <c r="U141" t="s">
        <v>140</v>
      </c>
      <c r="V141" t="s">
        <v>140</v>
      </c>
      <c r="W141" t="s">
        <v>140</v>
      </c>
      <c r="X141" t="s">
        <v>140</v>
      </c>
      <c r="Y141" t="s">
        <v>140</v>
      </c>
      <c r="Z141" t="s">
        <v>140</v>
      </c>
      <c r="AA141" t="s">
        <v>140</v>
      </c>
      <c r="AB141" t="s">
        <v>140</v>
      </c>
      <c r="AC141" t="s">
        <v>140</v>
      </c>
      <c r="AD141" t="s">
        <v>140</v>
      </c>
      <c r="AE141" t="s">
        <v>140</v>
      </c>
      <c r="AF141" t="s">
        <v>140</v>
      </c>
      <c r="AG141" t="s">
        <v>140</v>
      </c>
      <c r="AH141" t="s">
        <v>140</v>
      </c>
      <c r="AI141" t="s">
        <v>140</v>
      </c>
      <c r="AJ141" t="s">
        <v>140</v>
      </c>
      <c r="AK141" t="s">
        <v>140</v>
      </c>
      <c r="AL141" t="s">
        <v>140</v>
      </c>
      <c r="AM141" t="s">
        <v>140</v>
      </c>
      <c r="AN141" t="s">
        <v>140</v>
      </c>
      <c r="AO141" t="s">
        <v>140</v>
      </c>
      <c r="AP141" t="s">
        <v>140</v>
      </c>
      <c r="AQ141" t="s">
        <v>140</v>
      </c>
      <c r="AR141" t="s">
        <v>140</v>
      </c>
      <c r="AS141" t="s">
        <v>140</v>
      </c>
      <c r="AT141" t="s">
        <v>140</v>
      </c>
      <c r="AU141" t="s">
        <v>140</v>
      </c>
      <c r="AV141" t="s">
        <v>140</v>
      </c>
      <c r="AW141" t="s">
        <v>140</v>
      </c>
      <c r="AX141" t="s">
        <v>140</v>
      </c>
      <c r="AY141" t="s">
        <v>140</v>
      </c>
      <c r="AZ141" t="s">
        <v>140</v>
      </c>
      <c r="BA141" t="s">
        <v>140</v>
      </c>
      <c r="BB141" t="s">
        <v>140</v>
      </c>
      <c r="BC141" t="s">
        <v>140</v>
      </c>
      <c r="BD141" t="s">
        <v>140</v>
      </c>
      <c r="BE141" t="s">
        <v>140</v>
      </c>
      <c r="BF141" t="s">
        <v>140</v>
      </c>
      <c r="BG141" t="s">
        <v>140</v>
      </c>
      <c r="BH141" t="s">
        <v>140</v>
      </c>
      <c r="BI141" t="s">
        <v>140</v>
      </c>
      <c r="BJ141" t="s">
        <v>140</v>
      </c>
      <c r="BK141" t="s">
        <v>140</v>
      </c>
      <c r="BL141" t="s">
        <v>140</v>
      </c>
      <c r="BM141" t="s">
        <v>140</v>
      </c>
      <c r="BN141" t="s">
        <v>140</v>
      </c>
      <c r="BO141" t="s">
        <v>140</v>
      </c>
      <c r="BP141" t="s">
        <v>140</v>
      </c>
      <c r="BQ141" t="s">
        <v>140</v>
      </c>
      <c r="BR141" t="s">
        <v>140</v>
      </c>
      <c r="BS141" t="s">
        <v>140</v>
      </c>
      <c r="BT141" t="s">
        <v>140</v>
      </c>
      <c r="BU141" t="s">
        <v>140</v>
      </c>
      <c r="BV141" t="s">
        <v>140</v>
      </c>
      <c r="BW141" t="s">
        <v>140</v>
      </c>
      <c r="BX141" t="s">
        <v>140</v>
      </c>
      <c r="BY141" t="s">
        <v>140</v>
      </c>
      <c r="BZ141" t="s">
        <v>140</v>
      </c>
      <c r="CA141" t="s">
        <v>140</v>
      </c>
      <c r="CB141" t="s">
        <v>140</v>
      </c>
      <c r="CC141" t="s">
        <v>140</v>
      </c>
      <c r="CD141" t="s">
        <v>140</v>
      </c>
      <c r="CE141" t="s">
        <v>140</v>
      </c>
      <c r="CF141" t="s">
        <v>140</v>
      </c>
      <c r="CG141" t="s">
        <v>140</v>
      </c>
      <c r="CH141" t="s">
        <v>140</v>
      </c>
      <c r="CI141" t="s">
        <v>140</v>
      </c>
      <c r="CJ141" t="s">
        <v>140</v>
      </c>
      <c r="CK141" t="s">
        <v>140</v>
      </c>
      <c r="CL141" t="s">
        <v>140</v>
      </c>
      <c r="CM141" t="s">
        <v>140</v>
      </c>
      <c r="CN141" t="s">
        <v>140</v>
      </c>
      <c r="CO141" t="s">
        <v>140</v>
      </c>
      <c r="CP141" t="s">
        <v>140</v>
      </c>
      <c r="CQ141" t="s">
        <v>140</v>
      </c>
      <c r="CR141" t="s">
        <v>140</v>
      </c>
      <c r="CS141" t="s">
        <v>140</v>
      </c>
      <c r="CT141" t="s">
        <v>140</v>
      </c>
      <c r="CU141" t="s">
        <v>140</v>
      </c>
      <c r="CV141" t="s">
        <v>140</v>
      </c>
      <c r="CW141" t="s">
        <v>140</v>
      </c>
      <c r="CX141" t="s">
        <v>140</v>
      </c>
      <c r="CY141" t="s">
        <v>140</v>
      </c>
      <c r="CZ141" t="s">
        <v>140</v>
      </c>
      <c r="DA141" t="s">
        <v>140</v>
      </c>
      <c r="DB141" t="s">
        <v>140</v>
      </c>
      <c r="DC141" s="1">
        <v>0</v>
      </c>
      <c r="DD141" s="1">
        <v>0</v>
      </c>
      <c r="DE141" s="1">
        <v>0</v>
      </c>
      <c r="DF141" s="1">
        <v>0</v>
      </c>
      <c r="DG141" s="1">
        <v>0</v>
      </c>
      <c r="DH141" s="1">
        <v>0</v>
      </c>
      <c r="DI141" s="1">
        <v>0</v>
      </c>
      <c r="DJ141" s="1">
        <v>0</v>
      </c>
      <c r="DK141" s="1">
        <v>0</v>
      </c>
      <c r="DL141" s="1">
        <v>0</v>
      </c>
      <c r="DM141" s="1">
        <v>0</v>
      </c>
      <c r="DN141" s="1">
        <v>0</v>
      </c>
      <c r="DO141" s="1">
        <v>0</v>
      </c>
      <c r="DP141" s="1">
        <v>0</v>
      </c>
      <c r="DQ141" s="1">
        <v>0</v>
      </c>
      <c r="DR141" s="1">
        <v>0</v>
      </c>
      <c r="DS141" s="1">
        <v>0</v>
      </c>
      <c r="DT141" s="1">
        <v>0</v>
      </c>
      <c r="DU141" s="1">
        <v>0</v>
      </c>
      <c r="DV141" s="1">
        <v>0</v>
      </c>
      <c r="DW141" s="1">
        <v>0</v>
      </c>
      <c r="DX141" s="1">
        <v>0</v>
      </c>
      <c r="DY141" s="1">
        <v>0</v>
      </c>
      <c r="DZ141" s="1">
        <v>0</v>
      </c>
      <c r="EA141" s="1">
        <v>0</v>
      </c>
      <c r="EB141" s="1">
        <v>0</v>
      </c>
      <c r="EC141" s="1">
        <v>0</v>
      </c>
      <c r="ED141" s="1">
        <v>0</v>
      </c>
    </row>
    <row r="142" spans="1:134" x14ac:dyDescent="0.25">
      <c r="A142" t="s">
        <v>260</v>
      </c>
      <c r="B142" s="1">
        <v>1391</v>
      </c>
      <c r="C142" s="1">
        <v>1615</v>
      </c>
      <c r="D142" s="1">
        <v>1702</v>
      </c>
      <c r="E142" s="1">
        <v>1852</v>
      </c>
      <c r="F142" s="1">
        <v>4985</v>
      </c>
      <c r="G142" s="1">
        <v>5623</v>
      </c>
      <c r="H142" s="1">
        <v>6163</v>
      </c>
      <c r="I142" s="1">
        <v>6865</v>
      </c>
      <c r="J142" s="1">
        <v>10609</v>
      </c>
      <c r="K142" s="1">
        <v>5641</v>
      </c>
      <c r="L142" s="1">
        <v>6126</v>
      </c>
      <c r="M142" s="1">
        <v>6126</v>
      </c>
      <c r="N142" t="s">
        <v>141</v>
      </c>
      <c r="O142" t="s">
        <v>140</v>
      </c>
      <c r="P142" t="s">
        <v>140</v>
      </c>
      <c r="Q142" t="s">
        <v>140</v>
      </c>
      <c r="R142" t="s">
        <v>140</v>
      </c>
      <c r="S142" t="s">
        <v>140</v>
      </c>
      <c r="T142" t="s">
        <v>140</v>
      </c>
      <c r="U142" t="s">
        <v>140</v>
      </c>
      <c r="V142" t="s">
        <v>140</v>
      </c>
      <c r="W142" t="s">
        <v>140</v>
      </c>
      <c r="X142" t="s">
        <v>140</v>
      </c>
      <c r="Y142" t="s">
        <v>140</v>
      </c>
      <c r="Z142" t="s">
        <v>140</v>
      </c>
      <c r="AA142" t="s">
        <v>140</v>
      </c>
      <c r="AB142" t="s">
        <v>140</v>
      </c>
      <c r="AC142" t="s">
        <v>140</v>
      </c>
      <c r="AD142" t="s">
        <v>140</v>
      </c>
      <c r="AE142" t="s">
        <v>140</v>
      </c>
      <c r="AF142" t="s">
        <v>140</v>
      </c>
      <c r="AG142" t="s">
        <v>140</v>
      </c>
      <c r="AH142" t="s">
        <v>140</v>
      </c>
      <c r="AI142" t="s">
        <v>140</v>
      </c>
      <c r="AJ142" t="s">
        <v>140</v>
      </c>
      <c r="AK142" t="s">
        <v>140</v>
      </c>
      <c r="AL142" t="s">
        <v>140</v>
      </c>
      <c r="AM142" t="s">
        <v>140</v>
      </c>
      <c r="AN142" t="s">
        <v>140</v>
      </c>
      <c r="AO142" t="s">
        <v>140</v>
      </c>
      <c r="AP142" t="s">
        <v>140</v>
      </c>
      <c r="AQ142" t="s">
        <v>140</v>
      </c>
      <c r="AR142" t="s">
        <v>140</v>
      </c>
      <c r="AS142" t="s">
        <v>140</v>
      </c>
      <c r="AT142" t="s">
        <v>140</v>
      </c>
      <c r="AU142" t="s">
        <v>140</v>
      </c>
      <c r="AV142" t="s">
        <v>140</v>
      </c>
      <c r="AW142" t="s">
        <v>140</v>
      </c>
      <c r="AX142" t="s">
        <v>140</v>
      </c>
      <c r="AY142" t="s">
        <v>140</v>
      </c>
      <c r="AZ142" t="s">
        <v>140</v>
      </c>
      <c r="BA142" t="s">
        <v>140</v>
      </c>
      <c r="BB142" t="s">
        <v>140</v>
      </c>
      <c r="BC142" t="s">
        <v>140</v>
      </c>
      <c r="BD142" t="s">
        <v>140</v>
      </c>
      <c r="BE142" t="s">
        <v>140</v>
      </c>
      <c r="BF142" t="s">
        <v>140</v>
      </c>
      <c r="BG142" t="s">
        <v>140</v>
      </c>
      <c r="BH142" t="s">
        <v>140</v>
      </c>
      <c r="BI142" t="s">
        <v>140</v>
      </c>
      <c r="BJ142" t="s">
        <v>140</v>
      </c>
      <c r="BK142" t="s">
        <v>140</v>
      </c>
      <c r="BL142" t="s">
        <v>140</v>
      </c>
      <c r="BM142" t="s">
        <v>140</v>
      </c>
      <c r="BN142" t="s">
        <v>140</v>
      </c>
      <c r="BO142" t="s">
        <v>140</v>
      </c>
      <c r="BP142" t="s">
        <v>140</v>
      </c>
      <c r="BQ142" t="s">
        <v>140</v>
      </c>
      <c r="BR142" t="s">
        <v>140</v>
      </c>
      <c r="BS142" t="s">
        <v>140</v>
      </c>
      <c r="BT142" t="s">
        <v>140</v>
      </c>
      <c r="BU142" t="s">
        <v>140</v>
      </c>
      <c r="BV142" t="s">
        <v>140</v>
      </c>
      <c r="BW142" t="s">
        <v>140</v>
      </c>
      <c r="BX142" t="s">
        <v>140</v>
      </c>
      <c r="BY142" t="s">
        <v>140</v>
      </c>
      <c r="BZ142" t="s">
        <v>140</v>
      </c>
      <c r="CA142" t="s">
        <v>140</v>
      </c>
      <c r="CB142" t="s">
        <v>140</v>
      </c>
      <c r="CC142" t="s">
        <v>140</v>
      </c>
      <c r="CD142" t="s">
        <v>140</v>
      </c>
      <c r="CE142" t="s">
        <v>140</v>
      </c>
      <c r="CF142" t="s">
        <v>140</v>
      </c>
      <c r="CG142" t="s">
        <v>140</v>
      </c>
      <c r="CH142" t="s">
        <v>140</v>
      </c>
      <c r="CI142" t="s">
        <v>140</v>
      </c>
      <c r="CJ142" t="s">
        <v>140</v>
      </c>
      <c r="CK142" t="s">
        <v>140</v>
      </c>
      <c r="CL142" t="s">
        <v>140</v>
      </c>
      <c r="CM142" t="s">
        <v>140</v>
      </c>
      <c r="CN142" t="s">
        <v>140</v>
      </c>
      <c r="CO142" t="s">
        <v>140</v>
      </c>
      <c r="CP142" t="s">
        <v>140</v>
      </c>
      <c r="CQ142" t="s">
        <v>140</v>
      </c>
      <c r="CR142" t="s">
        <v>140</v>
      </c>
      <c r="CS142" t="s">
        <v>140</v>
      </c>
      <c r="CT142" t="s">
        <v>140</v>
      </c>
      <c r="CU142" t="s">
        <v>140</v>
      </c>
      <c r="CV142" t="s">
        <v>140</v>
      </c>
      <c r="CW142" t="s">
        <v>140</v>
      </c>
      <c r="CX142" t="s">
        <v>140</v>
      </c>
      <c r="CY142" t="s">
        <v>140</v>
      </c>
      <c r="CZ142" t="s">
        <v>140</v>
      </c>
      <c r="DA142" t="s">
        <v>140</v>
      </c>
      <c r="DB142" t="s">
        <v>140</v>
      </c>
      <c r="DC142" s="1">
        <v>4187</v>
      </c>
      <c r="DD142" s="1">
        <v>5213</v>
      </c>
      <c r="DE142" s="1">
        <v>6323</v>
      </c>
      <c r="DF142" s="1">
        <v>6252</v>
      </c>
      <c r="DG142" s="1">
        <v>0</v>
      </c>
      <c r="DH142" s="1">
        <v>1405</v>
      </c>
      <c r="DI142" s="1">
        <v>8460</v>
      </c>
      <c r="DJ142" s="1">
        <v>1391</v>
      </c>
      <c r="DK142" s="1">
        <v>1572</v>
      </c>
      <c r="DL142" s="1">
        <v>1615</v>
      </c>
      <c r="DM142" s="1">
        <v>1605</v>
      </c>
      <c r="DN142" s="1">
        <v>1702</v>
      </c>
      <c r="DO142" s="1">
        <v>1798</v>
      </c>
      <c r="DP142" s="1">
        <v>1852</v>
      </c>
      <c r="DQ142" s="1">
        <v>1950</v>
      </c>
      <c r="DR142" s="1">
        <v>4985</v>
      </c>
      <c r="DS142" s="1">
        <v>5160</v>
      </c>
      <c r="DT142" s="1">
        <v>5623</v>
      </c>
      <c r="DU142" s="1">
        <v>5876</v>
      </c>
      <c r="DV142" s="1">
        <v>6163</v>
      </c>
      <c r="DW142" s="1">
        <v>6342</v>
      </c>
      <c r="DX142" s="1">
        <v>6865</v>
      </c>
      <c r="DY142" s="1">
        <v>7532</v>
      </c>
      <c r="DZ142" s="1">
        <v>10609</v>
      </c>
      <c r="EA142" s="1">
        <v>8419</v>
      </c>
      <c r="EB142" s="1">
        <v>5641</v>
      </c>
      <c r="EC142" s="1">
        <v>5858</v>
      </c>
      <c r="ED142" s="1">
        <v>6126</v>
      </c>
    </row>
    <row r="143" spans="1:134" x14ac:dyDescent="0.25">
      <c r="A143" t="s">
        <v>261</v>
      </c>
      <c r="B143" s="1">
        <v>9202</v>
      </c>
      <c r="C143" s="1">
        <v>14245</v>
      </c>
      <c r="D143" s="1">
        <v>13583</v>
      </c>
      <c r="E143" s="1">
        <v>11583</v>
      </c>
      <c r="F143" s="1">
        <v>20158</v>
      </c>
      <c r="G143" s="1">
        <v>31624</v>
      </c>
      <c r="H143" s="1">
        <v>33397</v>
      </c>
      <c r="I143" s="1">
        <v>30111</v>
      </c>
      <c r="J143" s="1">
        <v>35026</v>
      </c>
      <c r="K143" s="1">
        <v>40375</v>
      </c>
      <c r="L143" s="1">
        <v>44844</v>
      </c>
      <c r="M143" s="1">
        <v>44844</v>
      </c>
      <c r="N143" t="s">
        <v>141</v>
      </c>
      <c r="O143" t="s">
        <v>140</v>
      </c>
      <c r="P143" t="s">
        <v>140</v>
      </c>
      <c r="Q143" t="s">
        <v>140</v>
      </c>
      <c r="R143" t="s">
        <v>140</v>
      </c>
      <c r="S143" t="s">
        <v>140</v>
      </c>
      <c r="T143" t="s">
        <v>140</v>
      </c>
      <c r="U143" t="s">
        <v>140</v>
      </c>
      <c r="V143" t="s">
        <v>140</v>
      </c>
      <c r="W143" t="s">
        <v>140</v>
      </c>
      <c r="X143" t="s">
        <v>140</v>
      </c>
      <c r="Y143" t="s">
        <v>140</v>
      </c>
      <c r="Z143" t="s">
        <v>140</v>
      </c>
      <c r="AA143" t="s">
        <v>140</v>
      </c>
      <c r="AB143" t="s">
        <v>140</v>
      </c>
      <c r="AC143" t="s">
        <v>140</v>
      </c>
      <c r="AD143" t="s">
        <v>140</v>
      </c>
      <c r="AE143" t="s">
        <v>140</v>
      </c>
      <c r="AF143" t="s">
        <v>140</v>
      </c>
      <c r="AG143" t="s">
        <v>140</v>
      </c>
      <c r="AH143" t="s">
        <v>140</v>
      </c>
      <c r="AI143" t="s">
        <v>140</v>
      </c>
      <c r="AJ143" t="s">
        <v>140</v>
      </c>
      <c r="AK143" t="s">
        <v>140</v>
      </c>
      <c r="AL143" t="s">
        <v>140</v>
      </c>
      <c r="AM143" t="s">
        <v>140</v>
      </c>
      <c r="AN143" t="s">
        <v>140</v>
      </c>
      <c r="AO143" t="s">
        <v>140</v>
      </c>
      <c r="AP143" t="s">
        <v>140</v>
      </c>
      <c r="AQ143" t="s">
        <v>140</v>
      </c>
      <c r="AR143" t="s">
        <v>140</v>
      </c>
      <c r="AS143" t="s">
        <v>140</v>
      </c>
      <c r="AT143" t="s">
        <v>140</v>
      </c>
      <c r="AU143" t="s">
        <v>140</v>
      </c>
      <c r="AV143" t="s">
        <v>140</v>
      </c>
      <c r="AW143" t="s">
        <v>140</v>
      </c>
      <c r="AX143" t="s">
        <v>140</v>
      </c>
      <c r="AY143" t="s">
        <v>140</v>
      </c>
      <c r="AZ143" t="s">
        <v>140</v>
      </c>
      <c r="BA143" t="s">
        <v>140</v>
      </c>
      <c r="BB143" t="s">
        <v>140</v>
      </c>
      <c r="BC143" t="s">
        <v>140</v>
      </c>
      <c r="BD143" t="s">
        <v>140</v>
      </c>
      <c r="BE143" t="s">
        <v>140</v>
      </c>
      <c r="BF143" t="s">
        <v>140</v>
      </c>
      <c r="BG143" t="s">
        <v>140</v>
      </c>
      <c r="BH143" t="s">
        <v>140</v>
      </c>
      <c r="BI143" t="s">
        <v>140</v>
      </c>
      <c r="BJ143" t="s">
        <v>140</v>
      </c>
      <c r="BK143" t="s">
        <v>140</v>
      </c>
      <c r="BL143" t="s">
        <v>140</v>
      </c>
      <c r="BM143" t="s">
        <v>140</v>
      </c>
      <c r="BN143" t="s">
        <v>140</v>
      </c>
      <c r="BO143" t="s">
        <v>140</v>
      </c>
      <c r="BP143" t="s">
        <v>140</v>
      </c>
      <c r="BQ143" t="s">
        <v>140</v>
      </c>
      <c r="BR143" t="s">
        <v>140</v>
      </c>
      <c r="BS143" t="s">
        <v>140</v>
      </c>
      <c r="BT143" t="s">
        <v>140</v>
      </c>
      <c r="BU143" t="s">
        <v>140</v>
      </c>
      <c r="BV143" t="s">
        <v>140</v>
      </c>
      <c r="BW143" t="s">
        <v>140</v>
      </c>
      <c r="BX143" t="s">
        <v>140</v>
      </c>
      <c r="BY143" t="s">
        <v>140</v>
      </c>
      <c r="BZ143" t="s">
        <v>140</v>
      </c>
      <c r="CA143" t="s">
        <v>140</v>
      </c>
      <c r="CB143" t="s">
        <v>140</v>
      </c>
      <c r="CC143" t="s">
        <v>140</v>
      </c>
      <c r="CD143" t="s">
        <v>140</v>
      </c>
      <c r="CE143" t="s">
        <v>140</v>
      </c>
      <c r="CF143" t="s">
        <v>140</v>
      </c>
      <c r="CG143" t="s">
        <v>140</v>
      </c>
      <c r="CH143" t="s">
        <v>140</v>
      </c>
      <c r="CI143" t="s">
        <v>140</v>
      </c>
      <c r="CJ143" t="s">
        <v>140</v>
      </c>
      <c r="CK143" t="s">
        <v>140</v>
      </c>
      <c r="CL143" t="s">
        <v>140</v>
      </c>
      <c r="CM143" t="s">
        <v>140</v>
      </c>
      <c r="CN143" t="s">
        <v>140</v>
      </c>
      <c r="CO143" t="s">
        <v>140</v>
      </c>
      <c r="CP143" t="s">
        <v>140</v>
      </c>
      <c r="CQ143" t="s">
        <v>140</v>
      </c>
      <c r="CR143" t="s">
        <v>140</v>
      </c>
      <c r="CS143" t="s">
        <v>140</v>
      </c>
      <c r="CT143" t="s">
        <v>140</v>
      </c>
      <c r="CU143" t="s">
        <v>140</v>
      </c>
      <c r="CV143" t="s">
        <v>140</v>
      </c>
      <c r="CW143" t="s">
        <v>140</v>
      </c>
      <c r="CX143" t="s">
        <v>140</v>
      </c>
      <c r="CY143" t="s">
        <v>140</v>
      </c>
      <c r="CZ143" t="s">
        <v>140</v>
      </c>
      <c r="DA143" t="s">
        <v>140</v>
      </c>
      <c r="DB143" t="s">
        <v>140</v>
      </c>
      <c r="DC143" s="1">
        <v>4187</v>
      </c>
      <c r="DD143" s="1">
        <v>17390</v>
      </c>
      <c r="DE143" s="1">
        <v>16309</v>
      </c>
      <c r="DF143" s="1">
        <v>17790</v>
      </c>
      <c r="DG143" s="1">
        <v>0</v>
      </c>
      <c r="DH143" s="1">
        <v>12272</v>
      </c>
      <c r="DI143" s="1">
        <v>18936</v>
      </c>
      <c r="DJ143" s="1">
        <v>9202</v>
      </c>
      <c r="DK143" s="1">
        <v>12290</v>
      </c>
      <c r="DL143" s="1">
        <v>14245</v>
      </c>
      <c r="DM143" s="1">
        <v>12982</v>
      </c>
      <c r="DN143" s="1">
        <v>13583</v>
      </c>
      <c r="DO143" s="1">
        <v>11871</v>
      </c>
      <c r="DP143" s="1">
        <v>11583</v>
      </c>
      <c r="DQ143" s="1">
        <v>14385</v>
      </c>
      <c r="DR143" s="1">
        <v>20158</v>
      </c>
      <c r="DS143" s="1">
        <v>29198</v>
      </c>
      <c r="DT143" s="1">
        <v>31624</v>
      </c>
      <c r="DU143" s="1">
        <v>34525</v>
      </c>
      <c r="DV143" s="1">
        <v>33397</v>
      </c>
      <c r="DW143" s="1">
        <v>36822</v>
      </c>
      <c r="DX143" s="1">
        <v>30111</v>
      </c>
      <c r="DY143" s="1">
        <v>26692</v>
      </c>
      <c r="DZ143" s="1">
        <v>35026</v>
      </c>
      <c r="EA143" s="1">
        <v>32707</v>
      </c>
      <c r="EB143" s="1">
        <v>40375</v>
      </c>
      <c r="EC143" s="1">
        <v>41932</v>
      </c>
      <c r="ED143" s="1">
        <v>44844</v>
      </c>
    </row>
    <row r="144" spans="1:134" x14ac:dyDescent="0.25">
      <c r="A144" t="s">
        <v>262</v>
      </c>
      <c r="B144" s="1">
        <v>13779</v>
      </c>
      <c r="C144" s="1">
        <v>16490</v>
      </c>
      <c r="D144" s="1">
        <v>17781</v>
      </c>
      <c r="E144" s="1">
        <v>17115</v>
      </c>
      <c r="F144" s="1">
        <v>25038</v>
      </c>
      <c r="G144" s="1">
        <v>36011</v>
      </c>
      <c r="H144" s="1">
        <v>37443</v>
      </c>
      <c r="I144" s="1">
        <v>37336</v>
      </c>
      <c r="J144" s="1">
        <v>37611</v>
      </c>
      <c r="K144" s="1">
        <v>47502</v>
      </c>
      <c r="L144" s="1">
        <v>51192</v>
      </c>
      <c r="M144" s="1">
        <v>51192</v>
      </c>
      <c r="N144" t="s">
        <v>141</v>
      </c>
      <c r="O144" t="s">
        <v>140</v>
      </c>
      <c r="P144" t="s">
        <v>140</v>
      </c>
      <c r="Q144" t="s">
        <v>140</v>
      </c>
      <c r="R144" t="s">
        <v>140</v>
      </c>
      <c r="S144" t="s">
        <v>140</v>
      </c>
      <c r="T144" t="s">
        <v>140</v>
      </c>
      <c r="U144" t="s">
        <v>140</v>
      </c>
      <c r="V144" t="s">
        <v>140</v>
      </c>
      <c r="W144" t="s">
        <v>140</v>
      </c>
      <c r="X144" t="s">
        <v>140</v>
      </c>
      <c r="Y144" t="s">
        <v>140</v>
      </c>
      <c r="Z144" t="s">
        <v>140</v>
      </c>
      <c r="AA144" t="s">
        <v>140</v>
      </c>
      <c r="AB144" t="s">
        <v>140</v>
      </c>
      <c r="AC144" t="s">
        <v>140</v>
      </c>
      <c r="AD144" t="s">
        <v>140</v>
      </c>
      <c r="AE144" t="s">
        <v>140</v>
      </c>
      <c r="AF144" t="s">
        <v>140</v>
      </c>
      <c r="AG144" t="s">
        <v>140</v>
      </c>
      <c r="AH144" t="s">
        <v>140</v>
      </c>
      <c r="AI144" t="s">
        <v>140</v>
      </c>
      <c r="AJ144" t="s">
        <v>140</v>
      </c>
      <c r="AK144" t="s">
        <v>140</v>
      </c>
      <c r="AL144" t="s">
        <v>140</v>
      </c>
      <c r="AM144" t="s">
        <v>140</v>
      </c>
      <c r="AN144" t="s">
        <v>140</v>
      </c>
      <c r="AO144" t="s">
        <v>140</v>
      </c>
      <c r="AP144" t="s">
        <v>140</v>
      </c>
      <c r="AQ144" t="s">
        <v>140</v>
      </c>
      <c r="AR144" t="s">
        <v>140</v>
      </c>
      <c r="AS144" t="s">
        <v>140</v>
      </c>
      <c r="AT144" t="s">
        <v>140</v>
      </c>
      <c r="AU144" t="s">
        <v>140</v>
      </c>
      <c r="AV144" t="s">
        <v>140</v>
      </c>
      <c r="AW144" t="s">
        <v>140</v>
      </c>
      <c r="AX144" t="s">
        <v>140</v>
      </c>
      <c r="AY144" t="s">
        <v>140</v>
      </c>
      <c r="AZ144" t="s">
        <v>140</v>
      </c>
      <c r="BA144" t="s">
        <v>140</v>
      </c>
      <c r="BB144" t="s">
        <v>140</v>
      </c>
      <c r="BC144" t="s">
        <v>140</v>
      </c>
      <c r="BD144" t="s">
        <v>140</v>
      </c>
      <c r="BE144" t="s">
        <v>140</v>
      </c>
      <c r="BF144" t="s">
        <v>140</v>
      </c>
      <c r="BG144" t="s">
        <v>140</v>
      </c>
      <c r="BH144" t="s">
        <v>140</v>
      </c>
      <c r="BI144" t="s">
        <v>140</v>
      </c>
      <c r="BJ144" t="s">
        <v>140</v>
      </c>
      <c r="BK144" t="s">
        <v>140</v>
      </c>
      <c r="BL144" t="s">
        <v>140</v>
      </c>
      <c r="BM144" t="s">
        <v>140</v>
      </c>
      <c r="BN144" t="s">
        <v>140</v>
      </c>
      <c r="BO144" t="s">
        <v>140</v>
      </c>
      <c r="BP144" t="s">
        <v>140</v>
      </c>
      <c r="BQ144" t="s">
        <v>140</v>
      </c>
      <c r="BR144" t="s">
        <v>140</v>
      </c>
      <c r="BS144" t="s">
        <v>140</v>
      </c>
      <c r="BT144" t="s">
        <v>140</v>
      </c>
      <c r="BU144" t="s">
        <v>140</v>
      </c>
      <c r="BV144" t="s">
        <v>140</v>
      </c>
      <c r="BW144" t="s">
        <v>140</v>
      </c>
      <c r="BX144" t="s">
        <v>140</v>
      </c>
      <c r="BY144" t="s">
        <v>140</v>
      </c>
      <c r="BZ144" t="s">
        <v>140</v>
      </c>
      <c r="CA144" t="s">
        <v>140</v>
      </c>
      <c r="CB144" t="s">
        <v>140</v>
      </c>
      <c r="CC144" t="s">
        <v>140</v>
      </c>
      <c r="CD144" t="s">
        <v>140</v>
      </c>
      <c r="CE144" t="s">
        <v>140</v>
      </c>
      <c r="CF144" t="s">
        <v>140</v>
      </c>
      <c r="CG144" t="s">
        <v>140</v>
      </c>
      <c r="CH144" t="s">
        <v>140</v>
      </c>
      <c r="CI144" t="s">
        <v>140</v>
      </c>
      <c r="CJ144" t="s">
        <v>140</v>
      </c>
      <c r="CK144" t="s">
        <v>140</v>
      </c>
      <c r="CL144" t="s">
        <v>140</v>
      </c>
      <c r="CM144" t="s">
        <v>140</v>
      </c>
      <c r="CN144" t="s">
        <v>140</v>
      </c>
      <c r="CO144" t="s">
        <v>140</v>
      </c>
      <c r="CP144" t="s">
        <v>140</v>
      </c>
      <c r="CQ144" t="s">
        <v>140</v>
      </c>
      <c r="CR144" t="s">
        <v>140</v>
      </c>
      <c r="CS144" t="s">
        <v>140</v>
      </c>
      <c r="CT144" t="s">
        <v>140</v>
      </c>
      <c r="CU144" t="s">
        <v>140</v>
      </c>
      <c r="CV144" t="s">
        <v>140</v>
      </c>
      <c r="CW144" t="s">
        <v>140</v>
      </c>
      <c r="CX144" t="s">
        <v>140</v>
      </c>
      <c r="CY144" t="s">
        <v>140</v>
      </c>
      <c r="CZ144" t="s">
        <v>140</v>
      </c>
      <c r="DA144" t="s">
        <v>140</v>
      </c>
      <c r="DB144" t="s">
        <v>140</v>
      </c>
      <c r="DC144" s="1">
        <v>16976</v>
      </c>
      <c r="DD144" s="1">
        <v>18446</v>
      </c>
      <c r="DE144" s="1">
        <v>19790</v>
      </c>
      <c r="DF144" s="1">
        <v>19479</v>
      </c>
      <c r="DG144" s="1">
        <v>0</v>
      </c>
      <c r="DH144" s="1">
        <v>14079</v>
      </c>
      <c r="DI144" s="1">
        <v>21040</v>
      </c>
      <c r="DJ144" s="1">
        <v>13779</v>
      </c>
      <c r="DK144" s="1">
        <v>16161</v>
      </c>
      <c r="DL144" s="1">
        <v>16490</v>
      </c>
      <c r="DM144" s="1">
        <v>17075</v>
      </c>
      <c r="DN144" s="1">
        <v>17781</v>
      </c>
      <c r="DO144" s="1">
        <v>16382</v>
      </c>
      <c r="DP144" s="1">
        <v>17115</v>
      </c>
      <c r="DQ144" s="1">
        <v>19322</v>
      </c>
      <c r="DR144" s="1">
        <v>25038</v>
      </c>
      <c r="DS144" s="1">
        <v>35209</v>
      </c>
      <c r="DT144" s="1">
        <v>36011</v>
      </c>
      <c r="DU144" s="1">
        <v>39270</v>
      </c>
      <c r="DV144" s="1">
        <v>37443</v>
      </c>
      <c r="DW144" s="1">
        <v>43921</v>
      </c>
      <c r="DX144" s="1">
        <v>37336</v>
      </c>
      <c r="DY144" s="1">
        <v>34308</v>
      </c>
      <c r="DZ144" s="1">
        <v>37611</v>
      </c>
      <c r="EA144" s="1">
        <v>41414</v>
      </c>
      <c r="EB144" s="1">
        <v>47502</v>
      </c>
      <c r="EC144" s="1">
        <v>49159</v>
      </c>
      <c r="ED144" s="1">
        <v>51192</v>
      </c>
    </row>
    <row r="145" spans="1:134" x14ac:dyDescent="0.25">
      <c r="A145" t="s">
        <v>263</v>
      </c>
      <c r="B145" s="1">
        <v>0</v>
      </c>
      <c r="C145" s="1">
        <v>0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  <c r="M145" s="1">
        <v>0</v>
      </c>
      <c r="N145" t="s">
        <v>141</v>
      </c>
      <c r="O145" t="s">
        <v>140</v>
      </c>
      <c r="P145" t="s">
        <v>140</v>
      </c>
      <c r="Q145" t="s">
        <v>140</v>
      </c>
      <c r="R145" t="s">
        <v>140</v>
      </c>
      <c r="S145" t="s">
        <v>140</v>
      </c>
      <c r="T145" t="s">
        <v>140</v>
      </c>
      <c r="U145" t="s">
        <v>140</v>
      </c>
      <c r="V145" t="s">
        <v>140</v>
      </c>
      <c r="W145" t="s">
        <v>140</v>
      </c>
      <c r="X145" t="s">
        <v>140</v>
      </c>
      <c r="Y145" t="s">
        <v>140</v>
      </c>
      <c r="Z145" t="s">
        <v>140</v>
      </c>
      <c r="AA145" t="s">
        <v>140</v>
      </c>
      <c r="AB145" t="s">
        <v>140</v>
      </c>
      <c r="AC145" t="s">
        <v>140</v>
      </c>
      <c r="AD145" t="s">
        <v>140</v>
      </c>
      <c r="AE145" t="s">
        <v>140</v>
      </c>
      <c r="AF145" t="s">
        <v>140</v>
      </c>
      <c r="AG145" t="s">
        <v>140</v>
      </c>
      <c r="AH145" t="s">
        <v>140</v>
      </c>
      <c r="AI145" t="s">
        <v>140</v>
      </c>
      <c r="AJ145" t="s">
        <v>140</v>
      </c>
      <c r="AK145" t="s">
        <v>140</v>
      </c>
      <c r="AL145" t="s">
        <v>140</v>
      </c>
      <c r="AM145" t="s">
        <v>140</v>
      </c>
      <c r="AN145" t="s">
        <v>140</v>
      </c>
      <c r="AO145" t="s">
        <v>140</v>
      </c>
      <c r="AP145" t="s">
        <v>140</v>
      </c>
      <c r="AQ145" t="s">
        <v>140</v>
      </c>
      <c r="AR145" t="s">
        <v>140</v>
      </c>
      <c r="AS145" t="s">
        <v>140</v>
      </c>
      <c r="AT145" t="s">
        <v>140</v>
      </c>
      <c r="AU145" t="s">
        <v>140</v>
      </c>
      <c r="AV145" t="s">
        <v>140</v>
      </c>
      <c r="AW145" t="s">
        <v>140</v>
      </c>
      <c r="AX145" t="s">
        <v>140</v>
      </c>
      <c r="AY145" t="s">
        <v>140</v>
      </c>
      <c r="AZ145" t="s">
        <v>140</v>
      </c>
      <c r="BA145" t="s">
        <v>140</v>
      </c>
      <c r="BB145" t="s">
        <v>140</v>
      </c>
      <c r="BC145" t="s">
        <v>140</v>
      </c>
      <c r="BD145" t="s">
        <v>140</v>
      </c>
      <c r="BE145" t="s">
        <v>140</v>
      </c>
      <c r="BF145" t="s">
        <v>140</v>
      </c>
      <c r="BG145" t="s">
        <v>140</v>
      </c>
      <c r="BH145" t="s">
        <v>140</v>
      </c>
      <c r="BI145" t="s">
        <v>140</v>
      </c>
      <c r="BJ145" t="s">
        <v>140</v>
      </c>
      <c r="BK145" t="s">
        <v>140</v>
      </c>
      <c r="BL145" t="s">
        <v>140</v>
      </c>
      <c r="BM145" t="s">
        <v>140</v>
      </c>
      <c r="BN145" t="s">
        <v>140</v>
      </c>
      <c r="BO145" t="s">
        <v>140</v>
      </c>
      <c r="BP145" t="s">
        <v>140</v>
      </c>
      <c r="BQ145" t="s">
        <v>140</v>
      </c>
      <c r="BR145" t="s">
        <v>140</v>
      </c>
      <c r="BS145" t="s">
        <v>140</v>
      </c>
      <c r="BT145" t="s">
        <v>140</v>
      </c>
      <c r="BU145" t="s">
        <v>140</v>
      </c>
      <c r="BV145" t="s">
        <v>140</v>
      </c>
      <c r="BW145" t="s">
        <v>140</v>
      </c>
      <c r="BX145" t="s">
        <v>140</v>
      </c>
      <c r="BY145" t="s">
        <v>140</v>
      </c>
      <c r="BZ145" t="s">
        <v>140</v>
      </c>
      <c r="CA145" t="s">
        <v>140</v>
      </c>
      <c r="CB145" t="s">
        <v>140</v>
      </c>
      <c r="CC145" t="s">
        <v>140</v>
      </c>
      <c r="CD145" t="s">
        <v>140</v>
      </c>
      <c r="CE145" t="s">
        <v>140</v>
      </c>
      <c r="CF145" t="s">
        <v>140</v>
      </c>
      <c r="CG145" t="s">
        <v>140</v>
      </c>
      <c r="CH145" t="s">
        <v>140</v>
      </c>
      <c r="CI145" t="s">
        <v>140</v>
      </c>
      <c r="CJ145" t="s">
        <v>140</v>
      </c>
      <c r="CK145" t="s">
        <v>140</v>
      </c>
      <c r="CL145" t="s">
        <v>140</v>
      </c>
      <c r="CM145" t="s">
        <v>140</v>
      </c>
      <c r="CN145" t="s">
        <v>140</v>
      </c>
      <c r="CO145" t="s">
        <v>140</v>
      </c>
      <c r="CP145" t="s">
        <v>140</v>
      </c>
      <c r="CQ145" t="s">
        <v>140</v>
      </c>
      <c r="CR145" t="s">
        <v>140</v>
      </c>
      <c r="CS145" t="s">
        <v>140</v>
      </c>
      <c r="CT145" t="s">
        <v>140</v>
      </c>
      <c r="CU145" t="s">
        <v>140</v>
      </c>
      <c r="CV145" t="s">
        <v>140</v>
      </c>
      <c r="CW145" t="s">
        <v>140</v>
      </c>
      <c r="CX145" t="s">
        <v>140</v>
      </c>
      <c r="CY145" t="s">
        <v>140</v>
      </c>
      <c r="CZ145" t="s">
        <v>140</v>
      </c>
      <c r="DA145" t="s">
        <v>140</v>
      </c>
      <c r="DB145" t="s">
        <v>140</v>
      </c>
      <c r="DC145" s="1">
        <v>0</v>
      </c>
      <c r="DD145" s="1">
        <v>0</v>
      </c>
      <c r="DE145" s="1">
        <v>0</v>
      </c>
      <c r="DF145" s="1">
        <v>0</v>
      </c>
      <c r="DG145" s="1">
        <v>0</v>
      </c>
      <c r="DH145" s="1">
        <v>0</v>
      </c>
      <c r="DI145" s="1">
        <v>0</v>
      </c>
      <c r="DJ145" s="1">
        <v>0</v>
      </c>
      <c r="DK145" s="1">
        <v>0</v>
      </c>
      <c r="DL145" s="1">
        <v>0</v>
      </c>
      <c r="DM145" s="1">
        <v>0</v>
      </c>
      <c r="DN145" s="1">
        <v>0</v>
      </c>
      <c r="DO145" s="1">
        <v>0</v>
      </c>
      <c r="DP145" s="1">
        <v>0</v>
      </c>
      <c r="DQ145" s="1">
        <v>0</v>
      </c>
      <c r="DR145" s="1">
        <v>0</v>
      </c>
      <c r="DS145" s="1">
        <v>0</v>
      </c>
      <c r="DT145" s="1">
        <v>0</v>
      </c>
      <c r="DU145" s="1">
        <v>0</v>
      </c>
      <c r="DV145" s="1">
        <v>0</v>
      </c>
      <c r="DW145" s="1">
        <v>0</v>
      </c>
      <c r="DX145" s="1">
        <v>0</v>
      </c>
      <c r="DY145" s="1">
        <v>0</v>
      </c>
      <c r="DZ145" s="1">
        <v>0</v>
      </c>
      <c r="EA145" s="1">
        <v>0</v>
      </c>
      <c r="EB145" s="1">
        <v>0</v>
      </c>
      <c r="EC145" s="1">
        <v>0</v>
      </c>
      <c r="ED145" s="1">
        <v>0</v>
      </c>
    </row>
    <row r="146" spans="1:134" x14ac:dyDescent="0.25">
      <c r="A146" t="s">
        <v>264</v>
      </c>
      <c r="B146" s="1">
        <v>0</v>
      </c>
      <c r="C146" s="1">
        <v>0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  <c r="M146" s="1">
        <v>0</v>
      </c>
      <c r="N146" t="s">
        <v>141</v>
      </c>
      <c r="O146" t="s">
        <v>140</v>
      </c>
      <c r="P146" t="s">
        <v>140</v>
      </c>
      <c r="Q146" t="s">
        <v>140</v>
      </c>
      <c r="R146" t="s">
        <v>140</v>
      </c>
      <c r="S146" t="s">
        <v>140</v>
      </c>
      <c r="T146" t="s">
        <v>140</v>
      </c>
      <c r="U146" t="s">
        <v>140</v>
      </c>
      <c r="V146" t="s">
        <v>140</v>
      </c>
      <c r="W146" t="s">
        <v>140</v>
      </c>
      <c r="X146" t="s">
        <v>140</v>
      </c>
      <c r="Y146" t="s">
        <v>140</v>
      </c>
      <c r="Z146" t="s">
        <v>140</v>
      </c>
      <c r="AA146" t="s">
        <v>140</v>
      </c>
      <c r="AB146" t="s">
        <v>140</v>
      </c>
      <c r="AC146" t="s">
        <v>140</v>
      </c>
      <c r="AD146" t="s">
        <v>140</v>
      </c>
      <c r="AE146" t="s">
        <v>140</v>
      </c>
      <c r="AF146" t="s">
        <v>140</v>
      </c>
      <c r="AG146" t="s">
        <v>140</v>
      </c>
      <c r="AH146" t="s">
        <v>140</v>
      </c>
      <c r="AI146" t="s">
        <v>140</v>
      </c>
      <c r="AJ146" t="s">
        <v>140</v>
      </c>
      <c r="AK146" t="s">
        <v>140</v>
      </c>
      <c r="AL146" t="s">
        <v>140</v>
      </c>
      <c r="AM146" t="s">
        <v>140</v>
      </c>
      <c r="AN146" t="s">
        <v>140</v>
      </c>
      <c r="AO146" t="s">
        <v>140</v>
      </c>
      <c r="AP146" t="s">
        <v>140</v>
      </c>
      <c r="AQ146" t="s">
        <v>140</v>
      </c>
      <c r="AR146" t="s">
        <v>140</v>
      </c>
      <c r="AS146" t="s">
        <v>140</v>
      </c>
      <c r="AT146" t="s">
        <v>140</v>
      </c>
      <c r="AU146" t="s">
        <v>140</v>
      </c>
      <c r="AV146" t="s">
        <v>140</v>
      </c>
      <c r="AW146" t="s">
        <v>140</v>
      </c>
      <c r="AX146" t="s">
        <v>140</v>
      </c>
      <c r="AY146" t="s">
        <v>140</v>
      </c>
      <c r="AZ146" t="s">
        <v>140</v>
      </c>
      <c r="BA146" t="s">
        <v>140</v>
      </c>
      <c r="BB146" t="s">
        <v>140</v>
      </c>
      <c r="BC146" t="s">
        <v>140</v>
      </c>
      <c r="BD146" t="s">
        <v>140</v>
      </c>
      <c r="BE146" t="s">
        <v>140</v>
      </c>
      <c r="BF146" t="s">
        <v>140</v>
      </c>
      <c r="BG146" t="s">
        <v>140</v>
      </c>
      <c r="BH146" t="s">
        <v>140</v>
      </c>
      <c r="BI146" t="s">
        <v>140</v>
      </c>
      <c r="BJ146" t="s">
        <v>140</v>
      </c>
      <c r="BK146" t="s">
        <v>140</v>
      </c>
      <c r="BL146" t="s">
        <v>140</v>
      </c>
      <c r="BM146" t="s">
        <v>140</v>
      </c>
      <c r="BN146" t="s">
        <v>140</v>
      </c>
      <c r="BO146" t="s">
        <v>140</v>
      </c>
      <c r="BP146" t="s">
        <v>140</v>
      </c>
      <c r="BQ146" t="s">
        <v>140</v>
      </c>
      <c r="BR146" t="s">
        <v>140</v>
      </c>
      <c r="BS146" t="s">
        <v>140</v>
      </c>
      <c r="BT146" t="s">
        <v>140</v>
      </c>
      <c r="BU146" t="s">
        <v>140</v>
      </c>
      <c r="BV146" t="s">
        <v>140</v>
      </c>
      <c r="BW146" t="s">
        <v>140</v>
      </c>
      <c r="BX146" t="s">
        <v>140</v>
      </c>
      <c r="BY146" t="s">
        <v>140</v>
      </c>
      <c r="BZ146" t="s">
        <v>140</v>
      </c>
      <c r="CA146" t="s">
        <v>140</v>
      </c>
      <c r="CB146" t="s">
        <v>140</v>
      </c>
      <c r="CC146" t="s">
        <v>140</v>
      </c>
      <c r="CD146" t="s">
        <v>140</v>
      </c>
      <c r="CE146" t="s">
        <v>140</v>
      </c>
      <c r="CF146" t="s">
        <v>140</v>
      </c>
      <c r="CG146" t="s">
        <v>140</v>
      </c>
      <c r="CH146" t="s">
        <v>140</v>
      </c>
      <c r="CI146" t="s">
        <v>140</v>
      </c>
      <c r="CJ146" t="s">
        <v>140</v>
      </c>
      <c r="CK146" t="s">
        <v>140</v>
      </c>
      <c r="CL146" t="s">
        <v>140</v>
      </c>
      <c r="CM146" t="s">
        <v>140</v>
      </c>
      <c r="CN146" t="s">
        <v>140</v>
      </c>
      <c r="CO146" t="s">
        <v>140</v>
      </c>
      <c r="CP146" t="s">
        <v>140</v>
      </c>
      <c r="CQ146" t="s">
        <v>140</v>
      </c>
      <c r="CR146" t="s">
        <v>140</v>
      </c>
      <c r="CS146" t="s">
        <v>140</v>
      </c>
      <c r="CT146" t="s">
        <v>140</v>
      </c>
      <c r="CU146" t="s">
        <v>140</v>
      </c>
      <c r="CV146" t="s">
        <v>140</v>
      </c>
      <c r="CW146" t="s">
        <v>140</v>
      </c>
      <c r="CX146" t="s">
        <v>140</v>
      </c>
      <c r="CY146" t="s">
        <v>140</v>
      </c>
      <c r="CZ146" t="s">
        <v>140</v>
      </c>
      <c r="DA146" t="s">
        <v>140</v>
      </c>
      <c r="DB146" t="s">
        <v>140</v>
      </c>
      <c r="DC146" s="1">
        <v>0</v>
      </c>
      <c r="DD146" s="1">
        <v>0</v>
      </c>
      <c r="DE146" s="1">
        <v>0</v>
      </c>
      <c r="DF146" s="1">
        <v>0</v>
      </c>
      <c r="DG146" s="1">
        <v>0</v>
      </c>
      <c r="DH146" s="1">
        <v>0</v>
      </c>
      <c r="DI146" s="1">
        <v>0</v>
      </c>
      <c r="DJ146" s="1">
        <v>0</v>
      </c>
      <c r="DK146" s="1">
        <v>0</v>
      </c>
      <c r="DL146" s="1">
        <v>0</v>
      </c>
      <c r="DM146" s="1">
        <v>0</v>
      </c>
      <c r="DN146" s="1">
        <v>0</v>
      </c>
      <c r="DO146" s="1">
        <v>0</v>
      </c>
      <c r="DP146" s="1">
        <v>0</v>
      </c>
      <c r="DQ146" s="1">
        <v>0</v>
      </c>
      <c r="DR146" s="1">
        <v>0</v>
      </c>
      <c r="DS146" s="1">
        <v>0</v>
      </c>
      <c r="DT146" s="1">
        <v>0</v>
      </c>
      <c r="DU146" s="1">
        <v>0</v>
      </c>
      <c r="DV146" s="1">
        <v>0</v>
      </c>
      <c r="DW146" s="1">
        <v>0</v>
      </c>
      <c r="DX146" s="1">
        <v>0</v>
      </c>
      <c r="DY146" s="1">
        <v>0</v>
      </c>
      <c r="DZ146" s="1">
        <v>0</v>
      </c>
      <c r="EA146" s="1">
        <v>0</v>
      </c>
      <c r="EB146" s="1">
        <v>0</v>
      </c>
      <c r="EC146" s="1">
        <v>0</v>
      </c>
      <c r="ED146" s="1">
        <v>0</v>
      </c>
    </row>
    <row r="147" spans="1:134" x14ac:dyDescent="0.25">
      <c r="A147" t="s">
        <v>265</v>
      </c>
      <c r="B147" s="1">
        <v>0</v>
      </c>
      <c r="C147" s="1">
        <v>0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  <c r="M147" s="1">
        <v>0</v>
      </c>
      <c r="N147" t="s">
        <v>141</v>
      </c>
      <c r="O147" t="s">
        <v>140</v>
      </c>
      <c r="P147" t="s">
        <v>140</v>
      </c>
      <c r="Q147" t="s">
        <v>140</v>
      </c>
      <c r="R147" t="s">
        <v>140</v>
      </c>
      <c r="S147" t="s">
        <v>140</v>
      </c>
      <c r="T147" t="s">
        <v>140</v>
      </c>
      <c r="U147" t="s">
        <v>140</v>
      </c>
      <c r="V147" t="s">
        <v>140</v>
      </c>
      <c r="W147" t="s">
        <v>140</v>
      </c>
      <c r="X147" t="s">
        <v>140</v>
      </c>
      <c r="Y147" t="s">
        <v>140</v>
      </c>
      <c r="Z147" t="s">
        <v>140</v>
      </c>
      <c r="AA147" t="s">
        <v>140</v>
      </c>
      <c r="AB147" t="s">
        <v>140</v>
      </c>
      <c r="AC147" t="s">
        <v>140</v>
      </c>
      <c r="AD147" t="s">
        <v>140</v>
      </c>
      <c r="AE147" t="s">
        <v>140</v>
      </c>
      <c r="AF147" t="s">
        <v>140</v>
      </c>
      <c r="AG147" t="s">
        <v>140</v>
      </c>
      <c r="AH147" t="s">
        <v>140</v>
      </c>
      <c r="AI147" t="s">
        <v>140</v>
      </c>
      <c r="AJ147" t="s">
        <v>140</v>
      </c>
      <c r="AK147" t="s">
        <v>140</v>
      </c>
      <c r="AL147" t="s">
        <v>140</v>
      </c>
      <c r="AM147" t="s">
        <v>140</v>
      </c>
      <c r="AN147" t="s">
        <v>140</v>
      </c>
      <c r="AO147" t="s">
        <v>140</v>
      </c>
      <c r="AP147" t="s">
        <v>140</v>
      </c>
      <c r="AQ147" t="s">
        <v>140</v>
      </c>
      <c r="AR147" t="s">
        <v>140</v>
      </c>
      <c r="AS147" t="s">
        <v>140</v>
      </c>
      <c r="AT147" t="s">
        <v>140</v>
      </c>
      <c r="AU147" t="s">
        <v>140</v>
      </c>
      <c r="AV147" t="s">
        <v>140</v>
      </c>
      <c r="AW147" t="s">
        <v>140</v>
      </c>
      <c r="AX147" t="s">
        <v>140</v>
      </c>
      <c r="AY147" t="s">
        <v>140</v>
      </c>
      <c r="AZ147" t="s">
        <v>140</v>
      </c>
      <c r="BA147" t="s">
        <v>140</v>
      </c>
      <c r="BB147" t="s">
        <v>140</v>
      </c>
      <c r="BC147" t="s">
        <v>140</v>
      </c>
      <c r="BD147" t="s">
        <v>140</v>
      </c>
      <c r="BE147" t="s">
        <v>140</v>
      </c>
      <c r="BF147" t="s">
        <v>140</v>
      </c>
      <c r="BG147" t="s">
        <v>140</v>
      </c>
      <c r="BH147" t="s">
        <v>140</v>
      </c>
      <c r="BI147" t="s">
        <v>140</v>
      </c>
      <c r="BJ147" t="s">
        <v>140</v>
      </c>
      <c r="BK147" t="s">
        <v>140</v>
      </c>
      <c r="BL147" t="s">
        <v>140</v>
      </c>
      <c r="BM147" t="s">
        <v>140</v>
      </c>
      <c r="BN147" t="s">
        <v>140</v>
      </c>
      <c r="BO147" t="s">
        <v>140</v>
      </c>
      <c r="BP147" t="s">
        <v>140</v>
      </c>
      <c r="BQ147" t="s">
        <v>140</v>
      </c>
      <c r="BR147" t="s">
        <v>140</v>
      </c>
      <c r="BS147" t="s">
        <v>140</v>
      </c>
      <c r="BT147" t="s">
        <v>140</v>
      </c>
      <c r="BU147" t="s">
        <v>140</v>
      </c>
      <c r="BV147" t="s">
        <v>140</v>
      </c>
      <c r="BW147" t="s">
        <v>140</v>
      </c>
      <c r="BX147" t="s">
        <v>140</v>
      </c>
      <c r="BY147" t="s">
        <v>140</v>
      </c>
      <c r="BZ147" t="s">
        <v>140</v>
      </c>
      <c r="CA147" t="s">
        <v>140</v>
      </c>
      <c r="CB147" t="s">
        <v>140</v>
      </c>
      <c r="CC147" t="s">
        <v>140</v>
      </c>
      <c r="CD147" t="s">
        <v>140</v>
      </c>
      <c r="CE147" t="s">
        <v>140</v>
      </c>
      <c r="CF147" t="s">
        <v>140</v>
      </c>
      <c r="CG147" t="s">
        <v>140</v>
      </c>
      <c r="CH147" t="s">
        <v>140</v>
      </c>
      <c r="CI147" t="s">
        <v>140</v>
      </c>
      <c r="CJ147" t="s">
        <v>140</v>
      </c>
      <c r="CK147" t="s">
        <v>140</v>
      </c>
      <c r="CL147" t="s">
        <v>140</v>
      </c>
      <c r="CM147" t="s">
        <v>140</v>
      </c>
      <c r="CN147" t="s">
        <v>140</v>
      </c>
      <c r="CO147" t="s">
        <v>140</v>
      </c>
      <c r="CP147" t="s">
        <v>140</v>
      </c>
      <c r="CQ147" t="s">
        <v>140</v>
      </c>
      <c r="CR147" t="s">
        <v>140</v>
      </c>
      <c r="CS147" t="s">
        <v>140</v>
      </c>
      <c r="CT147" t="s">
        <v>140</v>
      </c>
      <c r="CU147" t="s">
        <v>140</v>
      </c>
      <c r="CV147" t="s">
        <v>140</v>
      </c>
      <c r="CW147" t="s">
        <v>140</v>
      </c>
      <c r="CX147" t="s">
        <v>140</v>
      </c>
      <c r="CY147" t="s">
        <v>140</v>
      </c>
      <c r="CZ147" t="s">
        <v>140</v>
      </c>
      <c r="DA147" t="s">
        <v>140</v>
      </c>
      <c r="DB147" t="s">
        <v>140</v>
      </c>
      <c r="DC147" s="1">
        <v>0</v>
      </c>
      <c r="DD147" s="1">
        <v>0</v>
      </c>
      <c r="DE147" s="1">
        <v>0</v>
      </c>
      <c r="DF147" s="1">
        <v>0</v>
      </c>
      <c r="DG147" s="1">
        <v>0</v>
      </c>
      <c r="DH147" s="1">
        <v>0</v>
      </c>
      <c r="DI147" s="1">
        <v>0</v>
      </c>
      <c r="DJ147" s="1">
        <v>0</v>
      </c>
      <c r="DK147" s="1">
        <v>0</v>
      </c>
      <c r="DL147" s="1">
        <v>0</v>
      </c>
      <c r="DM147" s="1">
        <v>0</v>
      </c>
      <c r="DN147" s="1">
        <v>0</v>
      </c>
      <c r="DO147" s="1">
        <v>0</v>
      </c>
      <c r="DP147" s="1">
        <v>0</v>
      </c>
      <c r="DQ147" s="1">
        <v>0</v>
      </c>
      <c r="DR147" s="1">
        <v>0</v>
      </c>
      <c r="DS147" s="1">
        <v>0</v>
      </c>
      <c r="DT147" s="1">
        <v>0</v>
      </c>
      <c r="DU147" s="1">
        <v>0</v>
      </c>
      <c r="DV147" s="1">
        <v>0</v>
      </c>
      <c r="DW147" s="1">
        <v>0</v>
      </c>
      <c r="DX147" s="1">
        <v>0</v>
      </c>
      <c r="DY147" s="1">
        <v>0</v>
      </c>
      <c r="DZ147" s="1">
        <v>0</v>
      </c>
      <c r="EA147" s="1">
        <v>0</v>
      </c>
      <c r="EB147" s="1">
        <v>0</v>
      </c>
      <c r="EC147" s="1">
        <v>0</v>
      </c>
      <c r="ED147" s="1">
        <v>0</v>
      </c>
    </row>
    <row r="148" spans="1:134" x14ac:dyDescent="0.25">
      <c r="A148" t="s">
        <v>266</v>
      </c>
      <c r="B148" s="1">
        <v>0</v>
      </c>
      <c r="C148" s="1">
        <v>0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  <c r="M148" s="1">
        <v>0</v>
      </c>
      <c r="N148" t="s">
        <v>141</v>
      </c>
      <c r="O148" t="s">
        <v>140</v>
      </c>
      <c r="P148" t="s">
        <v>140</v>
      </c>
      <c r="Q148" t="s">
        <v>140</v>
      </c>
      <c r="R148" t="s">
        <v>140</v>
      </c>
      <c r="S148" t="s">
        <v>140</v>
      </c>
      <c r="T148" t="s">
        <v>140</v>
      </c>
      <c r="U148" t="s">
        <v>140</v>
      </c>
      <c r="V148" t="s">
        <v>140</v>
      </c>
      <c r="W148" t="s">
        <v>140</v>
      </c>
      <c r="X148" t="s">
        <v>140</v>
      </c>
      <c r="Y148" t="s">
        <v>140</v>
      </c>
      <c r="Z148" t="s">
        <v>140</v>
      </c>
      <c r="AA148" t="s">
        <v>140</v>
      </c>
      <c r="AB148" t="s">
        <v>140</v>
      </c>
      <c r="AC148" t="s">
        <v>140</v>
      </c>
      <c r="AD148" t="s">
        <v>140</v>
      </c>
      <c r="AE148" t="s">
        <v>140</v>
      </c>
      <c r="AF148" t="s">
        <v>140</v>
      </c>
      <c r="AG148" t="s">
        <v>140</v>
      </c>
      <c r="AH148" t="s">
        <v>140</v>
      </c>
      <c r="AI148" t="s">
        <v>140</v>
      </c>
      <c r="AJ148" t="s">
        <v>140</v>
      </c>
      <c r="AK148" t="s">
        <v>140</v>
      </c>
      <c r="AL148" t="s">
        <v>140</v>
      </c>
      <c r="AM148" t="s">
        <v>140</v>
      </c>
      <c r="AN148" t="s">
        <v>140</v>
      </c>
      <c r="AO148" t="s">
        <v>140</v>
      </c>
      <c r="AP148" t="s">
        <v>140</v>
      </c>
      <c r="AQ148" t="s">
        <v>140</v>
      </c>
      <c r="AR148" t="s">
        <v>140</v>
      </c>
      <c r="AS148" t="s">
        <v>140</v>
      </c>
      <c r="AT148" t="s">
        <v>140</v>
      </c>
      <c r="AU148" t="s">
        <v>140</v>
      </c>
      <c r="AV148" t="s">
        <v>140</v>
      </c>
      <c r="AW148" t="s">
        <v>140</v>
      </c>
      <c r="AX148" t="s">
        <v>140</v>
      </c>
      <c r="AY148" t="s">
        <v>140</v>
      </c>
      <c r="AZ148" t="s">
        <v>140</v>
      </c>
      <c r="BA148" t="s">
        <v>140</v>
      </c>
      <c r="BB148" t="s">
        <v>140</v>
      </c>
      <c r="BC148" t="s">
        <v>140</v>
      </c>
      <c r="BD148" t="s">
        <v>140</v>
      </c>
      <c r="BE148" t="s">
        <v>140</v>
      </c>
      <c r="BF148" t="s">
        <v>140</v>
      </c>
      <c r="BG148" t="s">
        <v>140</v>
      </c>
      <c r="BH148" t="s">
        <v>140</v>
      </c>
      <c r="BI148" t="s">
        <v>140</v>
      </c>
      <c r="BJ148" t="s">
        <v>140</v>
      </c>
      <c r="BK148" t="s">
        <v>140</v>
      </c>
      <c r="BL148" t="s">
        <v>140</v>
      </c>
      <c r="BM148" t="s">
        <v>140</v>
      </c>
      <c r="BN148" t="s">
        <v>140</v>
      </c>
      <c r="BO148" t="s">
        <v>140</v>
      </c>
      <c r="BP148" t="s">
        <v>140</v>
      </c>
      <c r="BQ148" t="s">
        <v>140</v>
      </c>
      <c r="BR148" t="s">
        <v>140</v>
      </c>
      <c r="BS148" t="s">
        <v>140</v>
      </c>
      <c r="BT148" t="s">
        <v>140</v>
      </c>
      <c r="BU148" t="s">
        <v>140</v>
      </c>
      <c r="BV148" t="s">
        <v>140</v>
      </c>
      <c r="BW148" t="s">
        <v>140</v>
      </c>
      <c r="BX148" t="s">
        <v>140</v>
      </c>
      <c r="BY148" t="s">
        <v>140</v>
      </c>
      <c r="BZ148" t="s">
        <v>140</v>
      </c>
      <c r="CA148" t="s">
        <v>140</v>
      </c>
      <c r="CB148" t="s">
        <v>140</v>
      </c>
      <c r="CC148" t="s">
        <v>140</v>
      </c>
      <c r="CD148" t="s">
        <v>140</v>
      </c>
      <c r="CE148" t="s">
        <v>140</v>
      </c>
      <c r="CF148" t="s">
        <v>140</v>
      </c>
      <c r="CG148" t="s">
        <v>140</v>
      </c>
      <c r="CH148" t="s">
        <v>140</v>
      </c>
      <c r="CI148" t="s">
        <v>140</v>
      </c>
      <c r="CJ148" t="s">
        <v>140</v>
      </c>
      <c r="CK148" t="s">
        <v>140</v>
      </c>
      <c r="CL148" t="s">
        <v>140</v>
      </c>
      <c r="CM148" t="s">
        <v>140</v>
      </c>
      <c r="CN148" t="s">
        <v>140</v>
      </c>
      <c r="CO148" t="s">
        <v>140</v>
      </c>
      <c r="CP148" t="s">
        <v>140</v>
      </c>
      <c r="CQ148" t="s">
        <v>140</v>
      </c>
      <c r="CR148" t="s">
        <v>140</v>
      </c>
      <c r="CS148" t="s">
        <v>140</v>
      </c>
      <c r="CT148" t="s">
        <v>140</v>
      </c>
      <c r="CU148" t="s">
        <v>140</v>
      </c>
      <c r="CV148" t="s">
        <v>140</v>
      </c>
      <c r="CW148" t="s">
        <v>140</v>
      </c>
      <c r="CX148" t="s">
        <v>140</v>
      </c>
      <c r="CY148" t="s">
        <v>140</v>
      </c>
      <c r="CZ148" t="s">
        <v>140</v>
      </c>
      <c r="DA148" t="s">
        <v>140</v>
      </c>
      <c r="DB148" t="s">
        <v>140</v>
      </c>
      <c r="DC148" s="1">
        <v>0</v>
      </c>
      <c r="DD148" s="1">
        <v>0</v>
      </c>
      <c r="DE148" s="1">
        <v>0</v>
      </c>
      <c r="DF148" s="1">
        <v>0</v>
      </c>
      <c r="DG148" s="1">
        <v>0</v>
      </c>
      <c r="DH148" s="1">
        <v>0</v>
      </c>
      <c r="DI148" s="1">
        <v>0</v>
      </c>
      <c r="DJ148" s="1">
        <v>0</v>
      </c>
      <c r="DK148" s="1">
        <v>0</v>
      </c>
      <c r="DL148" s="1">
        <v>0</v>
      </c>
      <c r="DM148" s="1">
        <v>0</v>
      </c>
      <c r="DN148" s="1">
        <v>0</v>
      </c>
      <c r="DO148" s="1">
        <v>0</v>
      </c>
      <c r="DP148" s="1">
        <v>0</v>
      </c>
      <c r="DQ148" s="1">
        <v>0</v>
      </c>
      <c r="DR148" s="1">
        <v>0</v>
      </c>
      <c r="DS148" s="1">
        <v>0</v>
      </c>
      <c r="DT148" s="1">
        <v>0</v>
      </c>
      <c r="DU148" s="1">
        <v>0</v>
      </c>
      <c r="DV148" s="1">
        <v>0</v>
      </c>
      <c r="DW148" s="1">
        <v>0</v>
      </c>
      <c r="DX148" s="1">
        <v>0</v>
      </c>
      <c r="DY148" s="1">
        <v>0</v>
      </c>
      <c r="DZ148" s="1">
        <v>0</v>
      </c>
      <c r="EA148" s="1">
        <v>0</v>
      </c>
      <c r="EB148" s="1">
        <v>0</v>
      </c>
      <c r="EC148" s="1">
        <v>0</v>
      </c>
      <c r="ED148" s="1">
        <v>0</v>
      </c>
    </row>
    <row r="149" spans="1:134" x14ac:dyDescent="0.25">
      <c r="A149" t="s">
        <v>267</v>
      </c>
      <c r="B149" s="1">
        <v>0</v>
      </c>
      <c r="C149" s="1">
        <v>0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  <c r="M149" s="1">
        <v>0</v>
      </c>
      <c r="N149" t="s">
        <v>141</v>
      </c>
      <c r="O149" t="s">
        <v>140</v>
      </c>
      <c r="P149" t="s">
        <v>140</v>
      </c>
      <c r="Q149" t="s">
        <v>140</v>
      </c>
      <c r="R149" t="s">
        <v>140</v>
      </c>
      <c r="S149" t="s">
        <v>140</v>
      </c>
      <c r="T149" t="s">
        <v>140</v>
      </c>
      <c r="U149" t="s">
        <v>140</v>
      </c>
      <c r="V149" t="s">
        <v>140</v>
      </c>
      <c r="W149" t="s">
        <v>140</v>
      </c>
      <c r="X149" t="s">
        <v>140</v>
      </c>
      <c r="Y149" t="s">
        <v>140</v>
      </c>
      <c r="Z149" t="s">
        <v>140</v>
      </c>
      <c r="AA149" t="s">
        <v>140</v>
      </c>
      <c r="AB149" t="s">
        <v>140</v>
      </c>
      <c r="AC149" t="s">
        <v>140</v>
      </c>
      <c r="AD149" t="s">
        <v>140</v>
      </c>
      <c r="AE149" t="s">
        <v>140</v>
      </c>
      <c r="AF149" t="s">
        <v>140</v>
      </c>
      <c r="AG149" t="s">
        <v>140</v>
      </c>
      <c r="AH149" t="s">
        <v>140</v>
      </c>
      <c r="AI149" t="s">
        <v>140</v>
      </c>
      <c r="AJ149" t="s">
        <v>140</v>
      </c>
      <c r="AK149" t="s">
        <v>140</v>
      </c>
      <c r="AL149" t="s">
        <v>140</v>
      </c>
      <c r="AM149" t="s">
        <v>140</v>
      </c>
      <c r="AN149" t="s">
        <v>140</v>
      </c>
      <c r="AO149" t="s">
        <v>140</v>
      </c>
      <c r="AP149" t="s">
        <v>140</v>
      </c>
      <c r="AQ149" t="s">
        <v>140</v>
      </c>
      <c r="AR149" t="s">
        <v>140</v>
      </c>
      <c r="AS149" t="s">
        <v>140</v>
      </c>
      <c r="AT149" t="s">
        <v>140</v>
      </c>
      <c r="AU149" t="s">
        <v>140</v>
      </c>
      <c r="AV149" t="s">
        <v>140</v>
      </c>
      <c r="AW149" t="s">
        <v>140</v>
      </c>
      <c r="AX149" t="s">
        <v>140</v>
      </c>
      <c r="AY149" t="s">
        <v>140</v>
      </c>
      <c r="AZ149" t="s">
        <v>140</v>
      </c>
      <c r="BA149" t="s">
        <v>140</v>
      </c>
      <c r="BB149" t="s">
        <v>140</v>
      </c>
      <c r="BC149" t="s">
        <v>140</v>
      </c>
      <c r="BD149" t="s">
        <v>140</v>
      </c>
      <c r="BE149" t="s">
        <v>140</v>
      </c>
      <c r="BF149" t="s">
        <v>140</v>
      </c>
      <c r="BG149" t="s">
        <v>140</v>
      </c>
      <c r="BH149" t="s">
        <v>140</v>
      </c>
      <c r="BI149" t="s">
        <v>140</v>
      </c>
      <c r="BJ149" t="s">
        <v>140</v>
      </c>
      <c r="BK149" t="s">
        <v>140</v>
      </c>
      <c r="BL149" t="s">
        <v>140</v>
      </c>
      <c r="BM149" t="s">
        <v>140</v>
      </c>
      <c r="BN149" t="s">
        <v>140</v>
      </c>
      <c r="BO149" t="s">
        <v>140</v>
      </c>
      <c r="BP149" t="s">
        <v>140</v>
      </c>
      <c r="BQ149" t="s">
        <v>140</v>
      </c>
      <c r="BR149" t="s">
        <v>140</v>
      </c>
      <c r="BS149" t="s">
        <v>140</v>
      </c>
      <c r="BT149" t="s">
        <v>140</v>
      </c>
      <c r="BU149" t="s">
        <v>140</v>
      </c>
      <c r="BV149" t="s">
        <v>140</v>
      </c>
      <c r="BW149" t="s">
        <v>140</v>
      </c>
      <c r="BX149" t="s">
        <v>140</v>
      </c>
      <c r="BY149" t="s">
        <v>140</v>
      </c>
      <c r="BZ149" t="s">
        <v>140</v>
      </c>
      <c r="CA149" t="s">
        <v>140</v>
      </c>
      <c r="CB149" t="s">
        <v>140</v>
      </c>
      <c r="CC149" t="s">
        <v>140</v>
      </c>
      <c r="CD149" t="s">
        <v>140</v>
      </c>
      <c r="CE149" t="s">
        <v>140</v>
      </c>
      <c r="CF149" t="s">
        <v>140</v>
      </c>
      <c r="CG149" t="s">
        <v>140</v>
      </c>
      <c r="CH149" t="s">
        <v>140</v>
      </c>
      <c r="CI149" t="s">
        <v>140</v>
      </c>
      <c r="CJ149" t="s">
        <v>140</v>
      </c>
      <c r="CK149" t="s">
        <v>140</v>
      </c>
      <c r="CL149" t="s">
        <v>140</v>
      </c>
      <c r="CM149" t="s">
        <v>140</v>
      </c>
      <c r="CN149" t="s">
        <v>140</v>
      </c>
      <c r="CO149" t="s">
        <v>140</v>
      </c>
      <c r="CP149" t="s">
        <v>140</v>
      </c>
      <c r="CQ149" t="s">
        <v>140</v>
      </c>
      <c r="CR149" t="s">
        <v>140</v>
      </c>
      <c r="CS149" t="s">
        <v>140</v>
      </c>
      <c r="CT149" t="s">
        <v>140</v>
      </c>
      <c r="CU149" t="s">
        <v>140</v>
      </c>
      <c r="CV149" t="s">
        <v>140</v>
      </c>
      <c r="CW149" t="s">
        <v>140</v>
      </c>
      <c r="CX149" t="s">
        <v>140</v>
      </c>
      <c r="CY149" t="s">
        <v>140</v>
      </c>
      <c r="CZ149" t="s">
        <v>140</v>
      </c>
      <c r="DA149" t="s">
        <v>140</v>
      </c>
      <c r="DB149" t="s">
        <v>140</v>
      </c>
      <c r="DC149" s="1">
        <v>0</v>
      </c>
      <c r="DD149" s="1">
        <v>0</v>
      </c>
      <c r="DE149" s="1">
        <v>0</v>
      </c>
      <c r="DF149" s="1">
        <v>0</v>
      </c>
      <c r="DG149" s="1">
        <v>0</v>
      </c>
      <c r="DH149" s="1">
        <v>0</v>
      </c>
      <c r="DI149" s="1">
        <v>0</v>
      </c>
      <c r="DJ149" s="1">
        <v>0</v>
      </c>
      <c r="DK149" s="1">
        <v>0</v>
      </c>
      <c r="DL149" s="1">
        <v>0</v>
      </c>
      <c r="DM149" s="1">
        <v>0</v>
      </c>
      <c r="DN149" s="1">
        <v>0</v>
      </c>
      <c r="DO149" s="1">
        <v>0</v>
      </c>
      <c r="DP149" s="1">
        <v>0</v>
      </c>
      <c r="DQ149" s="1">
        <v>0</v>
      </c>
      <c r="DR149" s="1">
        <v>0</v>
      </c>
      <c r="DS149" s="1">
        <v>0</v>
      </c>
      <c r="DT149" s="1">
        <v>0</v>
      </c>
      <c r="DU149" s="1">
        <v>0</v>
      </c>
      <c r="DV149" s="1">
        <v>0</v>
      </c>
      <c r="DW149" s="1">
        <v>0</v>
      </c>
      <c r="DX149" s="1">
        <v>0</v>
      </c>
      <c r="DY149" s="1">
        <v>0</v>
      </c>
      <c r="DZ149" s="1">
        <v>0</v>
      </c>
      <c r="EA149" s="1">
        <v>0</v>
      </c>
      <c r="EB149" s="1">
        <v>0</v>
      </c>
      <c r="EC149" s="1">
        <v>0</v>
      </c>
      <c r="ED149" s="1">
        <v>0</v>
      </c>
    </row>
    <row r="150" spans="1:134" x14ac:dyDescent="0.25">
      <c r="A150" t="s">
        <v>268</v>
      </c>
      <c r="B150" s="1">
        <v>0</v>
      </c>
      <c r="C150" s="1">
        <v>0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  <c r="M150" s="1">
        <v>0</v>
      </c>
      <c r="N150" t="s">
        <v>141</v>
      </c>
      <c r="O150" t="s">
        <v>140</v>
      </c>
      <c r="P150" t="s">
        <v>140</v>
      </c>
      <c r="Q150" t="s">
        <v>140</v>
      </c>
      <c r="R150" t="s">
        <v>140</v>
      </c>
      <c r="S150" t="s">
        <v>140</v>
      </c>
      <c r="T150" t="s">
        <v>140</v>
      </c>
      <c r="U150" t="s">
        <v>140</v>
      </c>
      <c r="V150" t="s">
        <v>140</v>
      </c>
      <c r="W150" t="s">
        <v>140</v>
      </c>
      <c r="X150" t="s">
        <v>140</v>
      </c>
      <c r="Y150" t="s">
        <v>140</v>
      </c>
      <c r="Z150" t="s">
        <v>140</v>
      </c>
      <c r="AA150" t="s">
        <v>140</v>
      </c>
      <c r="AB150" t="s">
        <v>140</v>
      </c>
      <c r="AC150" t="s">
        <v>140</v>
      </c>
      <c r="AD150" t="s">
        <v>140</v>
      </c>
      <c r="AE150" t="s">
        <v>140</v>
      </c>
      <c r="AF150" t="s">
        <v>140</v>
      </c>
      <c r="AG150" t="s">
        <v>140</v>
      </c>
      <c r="AH150" t="s">
        <v>140</v>
      </c>
      <c r="AI150" t="s">
        <v>140</v>
      </c>
      <c r="AJ150" t="s">
        <v>140</v>
      </c>
      <c r="AK150" t="s">
        <v>140</v>
      </c>
      <c r="AL150" t="s">
        <v>140</v>
      </c>
      <c r="AM150" t="s">
        <v>140</v>
      </c>
      <c r="AN150" t="s">
        <v>140</v>
      </c>
      <c r="AO150" t="s">
        <v>140</v>
      </c>
      <c r="AP150" t="s">
        <v>140</v>
      </c>
      <c r="AQ150" t="s">
        <v>140</v>
      </c>
      <c r="AR150" t="s">
        <v>140</v>
      </c>
      <c r="AS150" t="s">
        <v>140</v>
      </c>
      <c r="AT150" t="s">
        <v>140</v>
      </c>
      <c r="AU150" t="s">
        <v>140</v>
      </c>
      <c r="AV150" t="s">
        <v>140</v>
      </c>
      <c r="AW150" t="s">
        <v>140</v>
      </c>
      <c r="AX150" t="s">
        <v>140</v>
      </c>
      <c r="AY150" t="s">
        <v>140</v>
      </c>
      <c r="AZ150" t="s">
        <v>140</v>
      </c>
      <c r="BA150" t="s">
        <v>140</v>
      </c>
      <c r="BB150" t="s">
        <v>140</v>
      </c>
      <c r="BC150" t="s">
        <v>140</v>
      </c>
      <c r="BD150" t="s">
        <v>140</v>
      </c>
      <c r="BE150" t="s">
        <v>140</v>
      </c>
      <c r="BF150" t="s">
        <v>140</v>
      </c>
      <c r="BG150" t="s">
        <v>140</v>
      </c>
      <c r="BH150" t="s">
        <v>140</v>
      </c>
      <c r="BI150" t="s">
        <v>140</v>
      </c>
      <c r="BJ150" t="s">
        <v>140</v>
      </c>
      <c r="BK150" t="s">
        <v>140</v>
      </c>
      <c r="BL150" t="s">
        <v>140</v>
      </c>
      <c r="BM150" t="s">
        <v>140</v>
      </c>
      <c r="BN150" t="s">
        <v>140</v>
      </c>
      <c r="BO150" t="s">
        <v>140</v>
      </c>
      <c r="BP150" t="s">
        <v>140</v>
      </c>
      <c r="BQ150" t="s">
        <v>140</v>
      </c>
      <c r="BR150" t="s">
        <v>140</v>
      </c>
      <c r="BS150" t="s">
        <v>140</v>
      </c>
      <c r="BT150" t="s">
        <v>140</v>
      </c>
      <c r="BU150" t="s">
        <v>140</v>
      </c>
      <c r="BV150" t="s">
        <v>140</v>
      </c>
      <c r="BW150" t="s">
        <v>140</v>
      </c>
      <c r="BX150" t="s">
        <v>140</v>
      </c>
      <c r="BY150" t="s">
        <v>140</v>
      </c>
      <c r="BZ150" t="s">
        <v>140</v>
      </c>
      <c r="CA150" t="s">
        <v>140</v>
      </c>
      <c r="CB150" t="s">
        <v>140</v>
      </c>
      <c r="CC150" t="s">
        <v>140</v>
      </c>
      <c r="CD150" t="s">
        <v>140</v>
      </c>
      <c r="CE150" t="s">
        <v>140</v>
      </c>
      <c r="CF150" t="s">
        <v>140</v>
      </c>
      <c r="CG150" t="s">
        <v>140</v>
      </c>
      <c r="CH150" t="s">
        <v>140</v>
      </c>
      <c r="CI150" t="s">
        <v>140</v>
      </c>
      <c r="CJ150" t="s">
        <v>140</v>
      </c>
      <c r="CK150" t="s">
        <v>140</v>
      </c>
      <c r="CL150" t="s">
        <v>140</v>
      </c>
      <c r="CM150" t="s">
        <v>140</v>
      </c>
      <c r="CN150" t="s">
        <v>140</v>
      </c>
      <c r="CO150" t="s">
        <v>140</v>
      </c>
      <c r="CP150" t="s">
        <v>140</v>
      </c>
      <c r="CQ150" t="s">
        <v>140</v>
      </c>
      <c r="CR150" t="s">
        <v>140</v>
      </c>
      <c r="CS150" t="s">
        <v>140</v>
      </c>
      <c r="CT150" t="s">
        <v>140</v>
      </c>
      <c r="CU150" t="s">
        <v>140</v>
      </c>
      <c r="CV150" t="s">
        <v>140</v>
      </c>
      <c r="CW150" t="s">
        <v>140</v>
      </c>
      <c r="CX150" t="s">
        <v>140</v>
      </c>
      <c r="CY150" t="s">
        <v>140</v>
      </c>
      <c r="CZ150" t="s">
        <v>140</v>
      </c>
      <c r="DA150" t="s">
        <v>140</v>
      </c>
      <c r="DB150" t="s">
        <v>140</v>
      </c>
      <c r="DC150" s="1">
        <v>0</v>
      </c>
      <c r="DD150" s="1">
        <v>0</v>
      </c>
      <c r="DE150" s="1">
        <v>0</v>
      </c>
      <c r="DF150" s="1">
        <v>0</v>
      </c>
      <c r="DG150" s="1">
        <v>0</v>
      </c>
      <c r="DH150" s="1">
        <v>0</v>
      </c>
      <c r="DI150" s="1">
        <v>0</v>
      </c>
      <c r="DJ150" s="1">
        <v>0</v>
      </c>
      <c r="DK150" s="1">
        <v>0</v>
      </c>
      <c r="DL150" s="1">
        <v>0</v>
      </c>
      <c r="DM150" s="1">
        <v>0</v>
      </c>
      <c r="DN150" s="1">
        <v>0</v>
      </c>
      <c r="DO150" s="1">
        <v>0</v>
      </c>
      <c r="DP150" s="1">
        <v>0</v>
      </c>
      <c r="DQ150" s="1">
        <v>0</v>
      </c>
      <c r="DR150" s="1">
        <v>0</v>
      </c>
      <c r="DS150" s="1">
        <v>0</v>
      </c>
      <c r="DT150" s="1">
        <v>0</v>
      </c>
      <c r="DU150" s="1">
        <v>0</v>
      </c>
      <c r="DV150" s="1">
        <v>0</v>
      </c>
      <c r="DW150" s="1">
        <v>0</v>
      </c>
      <c r="DX150" s="1">
        <v>0</v>
      </c>
      <c r="DY150" s="1">
        <v>0</v>
      </c>
      <c r="DZ150" s="1">
        <v>0</v>
      </c>
      <c r="EA150" s="1">
        <v>0</v>
      </c>
      <c r="EB150" s="1">
        <v>0</v>
      </c>
      <c r="EC150" s="1">
        <v>0</v>
      </c>
      <c r="ED150" s="1">
        <v>0</v>
      </c>
    </row>
    <row r="151" spans="1:134" x14ac:dyDescent="0.25">
      <c r="A151" t="s">
        <v>269</v>
      </c>
      <c r="B151" s="1">
        <v>54975</v>
      </c>
      <c r="C151" s="1">
        <v>62735</v>
      </c>
      <c r="D151" s="1">
        <v>81642</v>
      </c>
      <c r="E151" s="1">
        <v>96351</v>
      </c>
      <c r="F151" s="1">
        <v>118106</v>
      </c>
      <c r="G151" s="1">
        <v>127387</v>
      </c>
      <c r="H151" s="1">
        <v>138241</v>
      </c>
      <c r="I151" s="1">
        <v>178594</v>
      </c>
      <c r="J151" s="1">
        <v>188739</v>
      </c>
      <c r="K151" s="1">
        <v>159711</v>
      </c>
      <c r="L151" s="1">
        <v>158720</v>
      </c>
      <c r="M151" s="1">
        <v>158720</v>
      </c>
      <c r="N151" t="s">
        <v>141</v>
      </c>
      <c r="O151" t="s">
        <v>140</v>
      </c>
      <c r="P151" t="s">
        <v>140</v>
      </c>
      <c r="Q151" t="s">
        <v>140</v>
      </c>
      <c r="R151" t="s">
        <v>140</v>
      </c>
      <c r="S151" t="s">
        <v>140</v>
      </c>
      <c r="T151" t="s">
        <v>140</v>
      </c>
      <c r="U151" t="s">
        <v>140</v>
      </c>
      <c r="V151" t="s">
        <v>140</v>
      </c>
      <c r="W151" t="s">
        <v>140</v>
      </c>
      <c r="X151" t="s">
        <v>140</v>
      </c>
      <c r="Y151" t="s">
        <v>140</v>
      </c>
      <c r="Z151" t="s">
        <v>140</v>
      </c>
      <c r="AA151" t="s">
        <v>140</v>
      </c>
      <c r="AB151" t="s">
        <v>140</v>
      </c>
      <c r="AC151" t="s">
        <v>140</v>
      </c>
      <c r="AD151" t="s">
        <v>140</v>
      </c>
      <c r="AE151" t="s">
        <v>140</v>
      </c>
      <c r="AF151" t="s">
        <v>140</v>
      </c>
      <c r="AG151" t="s">
        <v>140</v>
      </c>
      <c r="AH151" t="s">
        <v>140</v>
      </c>
      <c r="AI151" t="s">
        <v>140</v>
      </c>
      <c r="AJ151" t="s">
        <v>140</v>
      </c>
      <c r="AK151" t="s">
        <v>140</v>
      </c>
      <c r="AL151" t="s">
        <v>140</v>
      </c>
      <c r="AM151" t="s">
        <v>140</v>
      </c>
      <c r="AN151" t="s">
        <v>140</v>
      </c>
      <c r="AO151" t="s">
        <v>140</v>
      </c>
      <c r="AP151" t="s">
        <v>140</v>
      </c>
      <c r="AQ151" t="s">
        <v>140</v>
      </c>
      <c r="AR151" t="s">
        <v>140</v>
      </c>
      <c r="AS151" t="s">
        <v>140</v>
      </c>
      <c r="AT151" t="s">
        <v>140</v>
      </c>
      <c r="AU151" t="s">
        <v>140</v>
      </c>
      <c r="AV151" t="s">
        <v>140</v>
      </c>
      <c r="AW151" t="s">
        <v>140</v>
      </c>
      <c r="AX151" t="s">
        <v>140</v>
      </c>
      <c r="AY151" t="s">
        <v>140</v>
      </c>
      <c r="AZ151" t="s">
        <v>140</v>
      </c>
      <c r="BA151" t="s">
        <v>140</v>
      </c>
      <c r="BB151" t="s">
        <v>140</v>
      </c>
      <c r="BC151" t="s">
        <v>140</v>
      </c>
      <c r="BD151" t="s">
        <v>140</v>
      </c>
      <c r="BE151" t="s">
        <v>140</v>
      </c>
      <c r="BF151" t="s">
        <v>140</v>
      </c>
      <c r="BG151" t="s">
        <v>140</v>
      </c>
      <c r="BH151" t="s">
        <v>140</v>
      </c>
      <c r="BI151" t="s">
        <v>140</v>
      </c>
      <c r="BJ151" t="s">
        <v>140</v>
      </c>
      <c r="BK151" t="s">
        <v>140</v>
      </c>
      <c r="BL151" t="s">
        <v>140</v>
      </c>
      <c r="BM151" t="s">
        <v>140</v>
      </c>
      <c r="BN151" t="s">
        <v>140</v>
      </c>
      <c r="BO151" t="s">
        <v>140</v>
      </c>
      <c r="BP151" t="s">
        <v>140</v>
      </c>
      <c r="BQ151" t="s">
        <v>140</v>
      </c>
      <c r="BR151" t="s">
        <v>140</v>
      </c>
      <c r="BS151" t="s">
        <v>140</v>
      </c>
      <c r="BT151" t="s">
        <v>140</v>
      </c>
      <c r="BU151" t="s">
        <v>140</v>
      </c>
      <c r="BV151" t="s">
        <v>140</v>
      </c>
      <c r="BW151" t="s">
        <v>140</v>
      </c>
      <c r="BX151" t="s">
        <v>140</v>
      </c>
      <c r="BY151" t="s">
        <v>140</v>
      </c>
      <c r="BZ151" t="s">
        <v>140</v>
      </c>
      <c r="CA151" t="s">
        <v>140</v>
      </c>
      <c r="CB151" t="s">
        <v>140</v>
      </c>
      <c r="CC151" t="s">
        <v>140</v>
      </c>
      <c r="CD151" t="s">
        <v>140</v>
      </c>
      <c r="CE151" t="s">
        <v>140</v>
      </c>
      <c r="CF151" t="s">
        <v>140</v>
      </c>
      <c r="CG151" t="s">
        <v>140</v>
      </c>
      <c r="CH151" t="s">
        <v>140</v>
      </c>
      <c r="CI151" t="s">
        <v>140</v>
      </c>
      <c r="CJ151" t="s">
        <v>140</v>
      </c>
      <c r="CK151" t="s">
        <v>140</v>
      </c>
      <c r="CL151" t="s">
        <v>140</v>
      </c>
      <c r="CM151" t="s">
        <v>140</v>
      </c>
      <c r="CN151" t="s">
        <v>140</v>
      </c>
      <c r="CO151" t="s">
        <v>140</v>
      </c>
      <c r="CP151" t="s">
        <v>140</v>
      </c>
      <c r="CQ151" t="s">
        <v>140</v>
      </c>
      <c r="CR151" t="s">
        <v>140</v>
      </c>
      <c r="CS151" t="s">
        <v>140</v>
      </c>
      <c r="CT151" t="s">
        <v>140</v>
      </c>
      <c r="CU151" t="s">
        <v>140</v>
      </c>
      <c r="CV151" t="s">
        <v>140</v>
      </c>
      <c r="CW151" t="s">
        <v>140</v>
      </c>
      <c r="CX151" t="s">
        <v>140</v>
      </c>
      <c r="CY151" t="s">
        <v>140</v>
      </c>
      <c r="CZ151" t="s">
        <v>140</v>
      </c>
      <c r="DA151" t="s">
        <v>140</v>
      </c>
      <c r="DB151" t="s">
        <v>140</v>
      </c>
      <c r="DC151" s="1">
        <v>23715</v>
      </c>
      <c r="DD151" s="1">
        <v>26789</v>
      </c>
      <c r="DE151" s="1">
        <v>30558</v>
      </c>
      <c r="DF151" s="1">
        <v>29201</v>
      </c>
      <c r="DG151" s="1">
        <v>0</v>
      </c>
      <c r="DH151" s="1">
        <v>41145</v>
      </c>
      <c r="DI151" s="1">
        <v>41527</v>
      </c>
      <c r="DJ151" s="1">
        <v>54975</v>
      </c>
      <c r="DK151" s="1">
        <v>58807</v>
      </c>
      <c r="DL151" s="1">
        <v>62735</v>
      </c>
      <c r="DM151" s="1">
        <v>70394</v>
      </c>
      <c r="DN151" s="1">
        <v>81642</v>
      </c>
      <c r="DO151" s="1">
        <v>87912</v>
      </c>
      <c r="DP151" s="1">
        <v>96351</v>
      </c>
      <c r="DQ151" s="1">
        <v>110610</v>
      </c>
      <c r="DR151" s="1">
        <v>118106</v>
      </c>
      <c r="DS151" s="1">
        <v>122165</v>
      </c>
      <c r="DT151" s="1">
        <v>127387</v>
      </c>
      <c r="DU151" s="1">
        <v>129871</v>
      </c>
      <c r="DV151" s="1">
        <v>138241</v>
      </c>
      <c r="DW151" s="1">
        <v>147634</v>
      </c>
      <c r="DX151" s="1">
        <v>178594</v>
      </c>
      <c r="DY151" s="1">
        <v>180378</v>
      </c>
      <c r="DZ151" s="1">
        <v>188739</v>
      </c>
      <c r="EA151" s="1">
        <v>189926</v>
      </c>
      <c r="EB151" s="1">
        <v>159711</v>
      </c>
      <c r="EC151" s="1">
        <v>153853</v>
      </c>
      <c r="ED151" s="1">
        <v>158720</v>
      </c>
    </row>
    <row r="152" spans="1:134" x14ac:dyDescent="0.25">
      <c r="A152" t="s">
        <v>270</v>
      </c>
      <c r="B152" s="1">
        <v>54975</v>
      </c>
      <c r="C152" s="1">
        <v>62735</v>
      </c>
      <c r="D152" s="1">
        <v>81642</v>
      </c>
      <c r="E152" s="1">
        <v>96351</v>
      </c>
      <c r="F152" s="1">
        <v>118106</v>
      </c>
      <c r="G152" s="1">
        <v>127387</v>
      </c>
      <c r="H152" s="1">
        <v>138241</v>
      </c>
      <c r="I152" s="1">
        <v>178594</v>
      </c>
      <c r="J152" s="1">
        <v>188739</v>
      </c>
      <c r="K152" s="1">
        <v>159711</v>
      </c>
      <c r="L152" s="1">
        <v>158720</v>
      </c>
      <c r="M152" s="1">
        <v>158720</v>
      </c>
      <c r="N152" t="s">
        <v>141</v>
      </c>
      <c r="O152" t="s">
        <v>140</v>
      </c>
      <c r="P152" t="s">
        <v>140</v>
      </c>
      <c r="Q152" t="s">
        <v>140</v>
      </c>
      <c r="R152" t="s">
        <v>140</v>
      </c>
      <c r="S152" t="s">
        <v>140</v>
      </c>
      <c r="T152" t="s">
        <v>140</v>
      </c>
      <c r="U152" t="s">
        <v>140</v>
      </c>
      <c r="V152" t="s">
        <v>140</v>
      </c>
      <c r="W152" t="s">
        <v>140</v>
      </c>
      <c r="X152" t="s">
        <v>140</v>
      </c>
      <c r="Y152" t="s">
        <v>140</v>
      </c>
      <c r="Z152" t="s">
        <v>140</v>
      </c>
      <c r="AA152" t="s">
        <v>140</v>
      </c>
      <c r="AB152" t="s">
        <v>140</v>
      </c>
      <c r="AC152" t="s">
        <v>140</v>
      </c>
      <c r="AD152" t="s">
        <v>140</v>
      </c>
      <c r="AE152" t="s">
        <v>140</v>
      </c>
      <c r="AF152" t="s">
        <v>140</v>
      </c>
      <c r="AG152" t="s">
        <v>140</v>
      </c>
      <c r="AH152" t="s">
        <v>140</v>
      </c>
      <c r="AI152" t="s">
        <v>140</v>
      </c>
      <c r="AJ152" t="s">
        <v>140</v>
      </c>
      <c r="AK152" t="s">
        <v>140</v>
      </c>
      <c r="AL152" t="s">
        <v>140</v>
      </c>
      <c r="AM152" t="s">
        <v>140</v>
      </c>
      <c r="AN152" t="s">
        <v>140</v>
      </c>
      <c r="AO152" t="s">
        <v>140</v>
      </c>
      <c r="AP152" t="s">
        <v>140</v>
      </c>
      <c r="AQ152" t="s">
        <v>140</v>
      </c>
      <c r="AR152" t="s">
        <v>140</v>
      </c>
      <c r="AS152" t="s">
        <v>140</v>
      </c>
      <c r="AT152" t="s">
        <v>140</v>
      </c>
      <c r="AU152" t="s">
        <v>140</v>
      </c>
      <c r="AV152" t="s">
        <v>140</v>
      </c>
      <c r="AW152" t="s">
        <v>140</v>
      </c>
      <c r="AX152" t="s">
        <v>140</v>
      </c>
      <c r="AY152" t="s">
        <v>140</v>
      </c>
      <c r="AZ152" t="s">
        <v>140</v>
      </c>
      <c r="BA152" t="s">
        <v>140</v>
      </c>
      <c r="BB152" t="s">
        <v>140</v>
      </c>
      <c r="BC152" t="s">
        <v>140</v>
      </c>
      <c r="BD152" t="s">
        <v>140</v>
      </c>
      <c r="BE152" t="s">
        <v>140</v>
      </c>
      <c r="BF152" t="s">
        <v>140</v>
      </c>
      <c r="BG152" t="s">
        <v>140</v>
      </c>
      <c r="BH152" t="s">
        <v>140</v>
      </c>
      <c r="BI152" t="s">
        <v>140</v>
      </c>
      <c r="BJ152" t="s">
        <v>140</v>
      </c>
      <c r="BK152" t="s">
        <v>140</v>
      </c>
      <c r="BL152" t="s">
        <v>140</v>
      </c>
      <c r="BM152" t="s">
        <v>140</v>
      </c>
      <c r="BN152" t="s">
        <v>140</v>
      </c>
      <c r="BO152" t="s">
        <v>140</v>
      </c>
      <c r="BP152" t="s">
        <v>140</v>
      </c>
      <c r="BQ152" t="s">
        <v>140</v>
      </c>
      <c r="BR152" t="s">
        <v>140</v>
      </c>
      <c r="BS152" t="s">
        <v>140</v>
      </c>
      <c r="BT152" t="s">
        <v>140</v>
      </c>
      <c r="BU152" t="s">
        <v>140</v>
      </c>
      <c r="BV152" t="s">
        <v>140</v>
      </c>
      <c r="BW152" t="s">
        <v>140</v>
      </c>
      <c r="BX152" t="s">
        <v>140</v>
      </c>
      <c r="BY152" t="s">
        <v>140</v>
      </c>
      <c r="BZ152" t="s">
        <v>140</v>
      </c>
      <c r="CA152" t="s">
        <v>140</v>
      </c>
      <c r="CB152" t="s">
        <v>140</v>
      </c>
      <c r="CC152" t="s">
        <v>140</v>
      </c>
      <c r="CD152" t="s">
        <v>140</v>
      </c>
      <c r="CE152" t="s">
        <v>140</v>
      </c>
      <c r="CF152" t="s">
        <v>140</v>
      </c>
      <c r="CG152" t="s">
        <v>140</v>
      </c>
      <c r="CH152" t="s">
        <v>140</v>
      </c>
      <c r="CI152" t="s">
        <v>140</v>
      </c>
      <c r="CJ152" t="s">
        <v>140</v>
      </c>
      <c r="CK152" t="s">
        <v>140</v>
      </c>
      <c r="CL152" t="s">
        <v>140</v>
      </c>
      <c r="CM152" t="s">
        <v>140</v>
      </c>
      <c r="CN152" t="s">
        <v>140</v>
      </c>
      <c r="CO152" t="s">
        <v>140</v>
      </c>
      <c r="CP152" t="s">
        <v>140</v>
      </c>
      <c r="CQ152" t="s">
        <v>140</v>
      </c>
      <c r="CR152" t="s">
        <v>140</v>
      </c>
      <c r="CS152" t="s">
        <v>140</v>
      </c>
      <c r="CT152" t="s">
        <v>140</v>
      </c>
      <c r="CU152" t="s">
        <v>140</v>
      </c>
      <c r="CV152" t="s">
        <v>140</v>
      </c>
      <c r="CW152" t="s">
        <v>140</v>
      </c>
      <c r="CX152" t="s">
        <v>140</v>
      </c>
      <c r="CY152" t="s">
        <v>140</v>
      </c>
      <c r="CZ152" t="s">
        <v>140</v>
      </c>
      <c r="DA152" t="s">
        <v>140</v>
      </c>
      <c r="DB152" t="s">
        <v>140</v>
      </c>
      <c r="DC152" s="1">
        <v>23715</v>
      </c>
      <c r="DD152" s="1">
        <v>26789</v>
      </c>
      <c r="DE152" s="1">
        <v>30558</v>
      </c>
      <c r="DF152" s="1">
        <v>29201</v>
      </c>
      <c r="DG152" s="1">
        <v>0</v>
      </c>
      <c r="DH152" s="1">
        <v>41145</v>
      </c>
      <c r="DI152" s="1">
        <v>41527</v>
      </c>
      <c r="DJ152" s="1">
        <v>54975</v>
      </c>
      <c r="DK152" s="1">
        <v>58807</v>
      </c>
      <c r="DL152" s="1">
        <v>62735</v>
      </c>
      <c r="DM152" s="1">
        <v>70394</v>
      </c>
      <c r="DN152" s="1">
        <v>81642</v>
      </c>
      <c r="DO152" s="1">
        <v>87912</v>
      </c>
      <c r="DP152" s="1">
        <v>96351</v>
      </c>
      <c r="DQ152" s="1">
        <v>110610</v>
      </c>
      <c r="DR152" s="1">
        <v>118106</v>
      </c>
      <c r="DS152" s="1">
        <v>122165</v>
      </c>
      <c r="DT152" s="1">
        <v>127387</v>
      </c>
      <c r="DU152" s="1">
        <v>129871</v>
      </c>
      <c r="DV152" s="1">
        <v>138241</v>
      </c>
      <c r="DW152" s="1">
        <v>147634</v>
      </c>
      <c r="DX152" s="1">
        <v>178594</v>
      </c>
      <c r="DY152" s="1">
        <v>180378</v>
      </c>
      <c r="DZ152" s="1">
        <v>188739</v>
      </c>
      <c r="EA152" s="1">
        <v>189926</v>
      </c>
      <c r="EB152" s="1">
        <v>159711</v>
      </c>
      <c r="EC152" s="1">
        <v>153853</v>
      </c>
      <c r="ED152" s="1">
        <v>158720</v>
      </c>
    </row>
    <row r="153" spans="1:134" x14ac:dyDescent="0.25">
      <c r="A153" t="s">
        <v>271</v>
      </c>
      <c r="B153" s="1">
        <v>0</v>
      </c>
      <c r="C153" s="1">
        <v>0</v>
      </c>
      <c r="D153" s="1">
        <v>0</v>
      </c>
      <c r="E153" s="1">
        <v>0</v>
      </c>
      <c r="F153" s="1">
        <v>0</v>
      </c>
      <c r="G153" s="1">
        <v>54</v>
      </c>
      <c r="H153" s="1">
        <v>256</v>
      </c>
      <c r="I153" s="1">
        <v>474</v>
      </c>
      <c r="J153" s="1">
        <v>587</v>
      </c>
      <c r="K153" s="1">
        <v>406</v>
      </c>
      <c r="L153" s="1">
        <v>-27</v>
      </c>
      <c r="M153" s="1">
        <v>-27</v>
      </c>
      <c r="N153" t="s">
        <v>141</v>
      </c>
      <c r="O153" t="s">
        <v>140</v>
      </c>
      <c r="P153" t="s">
        <v>140</v>
      </c>
      <c r="Q153" t="s">
        <v>140</v>
      </c>
      <c r="R153" t="s">
        <v>140</v>
      </c>
      <c r="S153" t="s">
        <v>140</v>
      </c>
      <c r="T153" t="s">
        <v>140</v>
      </c>
      <c r="U153" t="s">
        <v>140</v>
      </c>
      <c r="V153" t="s">
        <v>140</v>
      </c>
      <c r="W153" t="s">
        <v>140</v>
      </c>
      <c r="X153" t="s">
        <v>140</v>
      </c>
      <c r="Y153" t="s">
        <v>140</v>
      </c>
      <c r="Z153" t="s">
        <v>140</v>
      </c>
      <c r="AA153" t="s">
        <v>140</v>
      </c>
      <c r="AB153" t="s">
        <v>140</v>
      </c>
      <c r="AC153" t="s">
        <v>140</v>
      </c>
      <c r="AD153" t="s">
        <v>140</v>
      </c>
      <c r="AE153" t="s">
        <v>140</v>
      </c>
      <c r="AF153" t="s">
        <v>140</v>
      </c>
      <c r="AG153" t="s">
        <v>140</v>
      </c>
      <c r="AH153" t="s">
        <v>140</v>
      </c>
      <c r="AI153" t="s">
        <v>140</v>
      </c>
      <c r="AJ153" t="s">
        <v>140</v>
      </c>
      <c r="AK153" t="s">
        <v>140</v>
      </c>
      <c r="AL153" t="s">
        <v>140</v>
      </c>
      <c r="AM153" t="s">
        <v>140</v>
      </c>
      <c r="AN153" t="s">
        <v>140</v>
      </c>
      <c r="AO153" t="s">
        <v>140</v>
      </c>
      <c r="AP153" t="s">
        <v>140</v>
      </c>
      <c r="AQ153" t="s">
        <v>140</v>
      </c>
      <c r="AR153" t="s">
        <v>140</v>
      </c>
      <c r="AS153" t="s">
        <v>140</v>
      </c>
      <c r="AT153" t="s">
        <v>140</v>
      </c>
      <c r="AU153" t="s">
        <v>140</v>
      </c>
      <c r="AV153" t="s">
        <v>140</v>
      </c>
      <c r="AW153" t="s">
        <v>140</v>
      </c>
      <c r="AX153" t="s">
        <v>140</v>
      </c>
      <c r="AY153" t="s">
        <v>140</v>
      </c>
      <c r="AZ153" t="s">
        <v>140</v>
      </c>
      <c r="BA153" t="s">
        <v>140</v>
      </c>
      <c r="BB153" t="s">
        <v>140</v>
      </c>
      <c r="BC153" t="s">
        <v>140</v>
      </c>
      <c r="BD153" t="s">
        <v>140</v>
      </c>
      <c r="BE153" t="s">
        <v>140</v>
      </c>
      <c r="BF153" t="s">
        <v>140</v>
      </c>
      <c r="BG153" t="s">
        <v>140</v>
      </c>
      <c r="BH153" t="s">
        <v>140</v>
      </c>
      <c r="BI153" t="s">
        <v>140</v>
      </c>
      <c r="BJ153" t="s">
        <v>140</v>
      </c>
      <c r="BK153" t="s">
        <v>140</v>
      </c>
      <c r="BL153" t="s">
        <v>140</v>
      </c>
      <c r="BM153" t="s">
        <v>140</v>
      </c>
      <c r="BN153" t="s">
        <v>140</v>
      </c>
      <c r="BO153" t="s">
        <v>140</v>
      </c>
      <c r="BP153" t="s">
        <v>140</v>
      </c>
      <c r="BQ153" t="s">
        <v>140</v>
      </c>
      <c r="BR153" t="s">
        <v>140</v>
      </c>
      <c r="BS153" t="s">
        <v>140</v>
      </c>
      <c r="BT153" t="s">
        <v>140</v>
      </c>
      <c r="BU153" t="s">
        <v>140</v>
      </c>
      <c r="BV153" t="s">
        <v>140</v>
      </c>
      <c r="BW153" t="s">
        <v>140</v>
      </c>
      <c r="BX153" t="s">
        <v>140</v>
      </c>
      <c r="BY153" t="s">
        <v>140</v>
      </c>
      <c r="BZ153" t="s">
        <v>140</v>
      </c>
      <c r="CA153" t="s">
        <v>140</v>
      </c>
      <c r="CB153" t="s">
        <v>140</v>
      </c>
      <c r="CC153" t="s">
        <v>140</v>
      </c>
      <c r="CD153" t="s">
        <v>140</v>
      </c>
      <c r="CE153" t="s">
        <v>140</v>
      </c>
      <c r="CF153" t="s">
        <v>140</v>
      </c>
      <c r="CG153" t="s">
        <v>140</v>
      </c>
      <c r="CH153" t="s">
        <v>140</v>
      </c>
      <c r="CI153" t="s">
        <v>140</v>
      </c>
      <c r="CJ153" t="s">
        <v>140</v>
      </c>
      <c r="CK153" t="s">
        <v>140</v>
      </c>
      <c r="CL153" t="s">
        <v>140</v>
      </c>
      <c r="CM153" t="s">
        <v>140</v>
      </c>
      <c r="CN153" t="s">
        <v>140</v>
      </c>
      <c r="CO153" t="s">
        <v>140</v>
      </c>
      <c r="CP153" t="s">
        <v>140</v>
      </c>
      <c r="CQ153" t="s">
        <v>140</v>
      </c>
      <c r="CR153" t="s">
        <v>140</v>
      </c>
      <c r="CS153" t="s">
        <v>140</v>
      </c>
      <c r="CT153" t="s">
        <v>140</v>
      </c>
      <c r="CU153" t="s">
        <v>140</v>
      </c>
      <c r="CV153" t="s">
        <v>140</v>
      </c>
      <c r="CW153" t="s">
        <v>140</v>
      </c>
      <c r="CX153" t="s">
        <v>140</v>
      </c>
      <c r="CY153" t="s">
        <v>140</v>
      </c>
      <c r="CZ153" t="s">
        <v>140</v>
      </c>
      <c r="DA153" t="s">
        <v>140</v>
      </c>
      <c r="DB153" t="s">
        <v>140</v>
      </c>
      <c r="DC153" s="1">
        <v>0</v>
      </c>
      <c r="DD153" s="1">
        <v>0</v>
      </c>
      <c r="DE153" s="1">
        <v>0</v>
      </c>
      <c r="DF153" s="1">
        <v>0</v>
      </c>
      <c r="DG153" s="1">
        <v>0</v>
      </c>
      <c r="DH153" s="1">
        <v>0</v>
      </c>
      <c r="DI153" s="1">
        <v>0</v>
      </c>
      <c r="DJ153" s="1">
        <v>0</v>
      </c>
      <c r="DK153" s="1">
        <v>0</v>
      </c>
      <c r="DL153" s="1">
        <v>0</v>
      </c>
      <c r="DM153" s="1">
        <v>0</v>
      </c>
      <c r="DN153" s="1">
        <v>0</v>
      </c>
      <c r="DO153" s="1">
        <v>0</v>
      </c>
      <c r="DP153" s="1">
        <v>0</v>
      </c>
      <c r="DQ153" s="1">
        <v>0</v>
      </c>
      <c r="DR153" s="1">
        <v>0</v>
      </c>
      <c r="DS153" s="1">
        <v>31</v>
      </c>
      <c r="DT153" s="1">
        <v>54</v>
      </c>
      <c r="DU153" s="1">
        <v>158</v>
      </c>
      <c r="DV153" s="1">
        <v>256</v>
      </c>
      <c r="DW153" s="1">
        <v>263</v>
      </c>
      <c r="DX153" s="1">
        <v>474</v>
      </c>
      <c r="DY153" s="1">
        <v>583</v>
      </c>
      <c r="DZ153" s="1">
        <v>587</v>
      </c>
      <c r="EA153" s="1">
        <v>562</v>
      </c>
      <c r="EB153" s="1">
        <v>406</v>
      </c>
      <c r="EC153" s="1">
        <v>174</v>
      </c>
      <c r="ED153" s="1">
        <v>-27</v>
      </c>
    </row>
    <row r="154" spans="1:134" x14ac:dyDescent="0.25">
      <c r="A154" t="s">
        <v>272</v>
      </c>
      <c r="B154" s="1">
        <v>54975</v>
      </c>
      <c r="C154" s="1">
        <v>62735</v>
      </c>
      <c r="D154" s="1">
        <v>81642</v>
      </c>
      <c r="E154" s="1">
        <v>96351</v>
      </c>
      <c r="F154" s="1">
        <v>118106</v>
      </c>
      <c r="G154" s="1">
        <v>127441</v>
      </c>
      <c r="H154" s="1">
        <v>138497</v>
      </c>
      <c r="I154" s="1">
        <v>179068</v>
      </c>
      <c r="J154" s="1">
        <v>189326</v>
      </c>
      <c r="K154" s="1">
        <v>160117</v>
      </c>
      <c r="L154" s="1">
        <v>158693</v>
      </c>
      <c r="M154" s="1">
        <v>158693</v>
      </c>
      <c r="N154" t="s">
        <v>141</v>
      </c>
      <c r="O154" t="s">
        <v>140</v>
      </c>
      <c r="P154" t="s">
        <v>140</v>
      </c>
      <c r="Q154" t="s">
        <v>140</v>
      </c>
      <c r="R154" t="s">
        <v>140</v>
      </c>
      <c r="S154" t="s">
        <v>140</v>
      </c>
      <c r="T154" t="s">
        <v>140</v>
      </c>
      <c r="U154" t="s">
        <v>140</v>
      </c>
      <c r="V154" t="s">
        <v>140</v>
      </c>
      <c r="W154" t="s">
        <v>140</v>
      </c>
      <c r="X154" t="s">
        <v>140</v>
      </c>
      <c r="Y154" t="s">
        <v>140</v>
      </c>
      <c r="Z154" t="s">
        <v>140</v>
      </c>
      <c r="AA154" t="s">
        <v>140</v>
      </c>
      <c r="AB154" t="s">
        <v>140</v>
      </c>
      <c r="AC154" t="s">
        <v>140</v>
      </c>
      <c r="AD154" t="s">
        <v>140</v>
      </c>
      <c r="AE154" t="s">
        <v>140</v>
      </c>
      <c r="AF154" t="s">
        <v>140</v>
      </c>
      <c r="AG154" t="s">
        <v>140</v>
      </c>
      <c r="AH154" t="s">
        <v>140</v>
      </c>
      <c r="AI154" t="s">
        <v>140</v>
      </c>
      <c r="AJ154" t="s">
        <v>140</v>
      </c>
      <c r="AK154" t="s">
        <v>140</v>
      </c>
      <c r="AL154" t="s">
        <v>140</v>
      </c>
      <c r="AM154" t="s">
        <v>140</v>
      </c>
      <c r="AN154" t="s">
        <v>140</v>
      </c>
      <c r="AO154" t="s">
        <v>140</v>
      </c>
      <c r="AP154" t="s">
        <v>140</v>
      </c>
      <c r="AQ154" t="s">
        <v>140</v>
      </c>
      <c r="AR154" t="s">
        <v>140</v>
      </c>
      <c r="AS154" t="s">
        <v>140</v>
      </c>
      <c r="AT154" t="s">
        <v>140</v>
      </c>
      <c r="AU154" t="s">
        <v>140</v>
      </c>
      <c r="AV154" t="s">
        <v>140</v>
      </c>
      <c r="AW154" t="s">
        <v>140</v>
      </c>
      <c r="AX154" t="s">
        <v>140</v>
      </c>
      <c r="AY154" t="s">
        <v>140</v>
      </c>
      <c r="AZ154" t="s">
        <v>140</v>
      </c>
      <c r="BA154" t="s">
        <v>140</v>
      </c>
      <c r="BB154" t="s">
        <v>140</v>
      </c>
      <c r="BC154" t="s">
        <v>140</v>
      </c>
      <c r="BD154" t="s">
        <v>140</v>
      </c>
      <c r="BE154" t="s">
        <v>140</v>
      </c>
      <c r="BF154" t="s">
        <v>140</v>
      </c>
      <c r="BG154" t="s">
        <v>140</v>
      </c>
      <c r="BH154" t="s">
        <v>140</v>
      </c>
      <c r="BI154" t="s">
        <v>140</v>
      </c>
      <c r="BJ154" t="s">
        <v>140</v>
      </c>
      <c r="BK154" t="s">
        <v>140</v>
      </c>
      <c r="BL154" t="s">
        <v>140</v>
      </c>
      <c r="BM154" t="s">
        <v>140</v>
      </c>
      <c r="BN154" t="s">
        <v>140</v>
      </c>
      <c r="BO154" t="s">
        <v>140</v>
      </c>
      <c r="BP154" t="s">
        <v>140</v>
      </c>
      <c r="BQ154" t="s">
        <v>140</v>
      </c>
      <c r="BR154" t="s">
        <v>140</v>
      </c>
      <c r="BS154" t="s">
        <v>140</v>
      </c>
      <c r="BT154" t="s">
        <v>140</v>
      </c>
      <c r="BU154" t="s">
        <v>140</v>
      </c>
      <c r="BV154" t="s">
        <v>140</v>
      </c>
      <c r="BW154" t="s">
        <v>140</v>
      </c>
      <c r="BX154" t="s">
        <v>140</v>
      </c>
      <c r="BY154" t="s">
        <v>140</v>
      </c>
      <c r="BZ154" t="s">
        <v>140</v>
      </c>
      <c r="CA154" t="s">
        <v>140</v>
      </c>
      <c r="CB154" t="s">
        <v>140</v>
      </c>
      <c r="CC154" t="s">
        <v>140</v>
      </c>
      <c r="CD154" t="s">
        <v>140</v>
      </c>
      <c r="CE154" t="s">
        <v>140</v>
      </c>
      <c r="CF154" t="s">
        <v>140</v>
      </c>
      <c r="CG154" t="s">
        <v>140</v>
      </c>
      <c r="CH154" t="s">
        <v>140</v>
      </c>
      <c r="CI154" t="s">
        <v>140</v>
      </c>
      <c r="CJ154" t="s">
        <v>140</v>
      </c>
      <c r="CK154" t="s">
        <v>140</v>
      </c>
      <c r="CL154" t="s">
        <v>140</v>
      </c>
      <c r="CM154" t="s">
        <v>140</v>
      </c>
      <c r="CN154" t="s">
        <v>140</v>
      </c>
      <c r="CO154" t="s">
        <v>140</v>
      </c>
      <c r="CP154" t="s">
        <v>140</v>
      </c>
      <c r="CQ154" t="s">
        <v>140</v>
      </c>
      <c r="CR154" t="s">
        <v>140</v>
      </c>
      <c r="CS154" t="s">
        <v>140</v>
      </c>
      <c r="CT154" t="s">
        <v>140</v>
      </c>
      <c r="CU154" t="s">
        <v>140</v>
      </c>
      <c r="CV154" t="s">
        <v>140</v>
      </c>
      <c r="CW154" t="s">
        <v>140</v>
      </c>
      <c r="CX154" t="s">
        <v>140</v>
      </c>
      <c r="CY154" t="s">
        <v>140</v>
      </c>
      <c r="CZ154" t="s">
        <v>140</v>
      </c>
      <c r="DA154" t="s">
        <v>140</v>
      </c>
      <c r="DB154" t="s">
        <v>140</v>
      </c>
      <c r="DC154" s="1">
        <v>23715</v>
      </c>
      <c r="DD154" s="1">
        <v>26789</v>
      </c>
      <c r="DE154" s="1">
        <v>30558</v>
      </c>
      <c r="DF154" s="1">
        <v>29201</v>
      </c>
      <c r="DG154" s="1">
        <v>0</v>
      </c>
      <c r="DH154" s="1">
        <v>41145</v>
      </c>
      <c r="DI154" s="1">
        <v>41527</v>
      </c>
      <c r="DJ154" s="1">
        <v>54975</v>
      </c>
      <c r="DK154" s="1">
        <v>58807</v>
      </c>
      <c r="DL154" s="1">
        <v>62735</v>
      </c>
      <c r="DM154" s="1">
        <v>70394</v>
      </c>
      <c r="DN154" s="1">
        <v>81642</v>
      </c>
      <c r="DO154" s="1">
        <v>87912</v>
      </c>
      <c r="DP154" s="1">
        <v>96351</v>
      </c>
      <c r="DQ154" s="1">
        <v>110610</v>
      </c>
      <c r="DR154" s="1">
        <v>118106</v>
      </c>
      <c r="DS154" s="1">
        <v>122196</v>
      </c>
      <c r="DT154" s="1">
        <v>127441</v>
      </c>
      <c r="DU154" s="1">
        <v>130029</v>
      </c>
      <c r="DV154" s="1">
        <v>138497</v>
      </c>
      <c r="DW154" s="1">
        <v>147897</v>
      </c>
      <c r="DX154" s="1">
        <v>179068</v>
      </c>
      <c r="DY154" s="1">
        <v>180961</v>
      </c>
      <c r="DZ154" s="1">
        <v>189326</v>
      </c>
      <c r="EA154" s="1">
        <v>190488</v>
      </c>
      <c r="EB154" s="1">
        <v>160117</v>
      </c>
      <c r="EC154" s="1">
        <v>154027</v>
      </c>
      <c r="ED154" s="1">
        <v>158693</v>
      </c>
    </row>
    <row r="155" spans="1:134" ht="18.75" x14ac:dyDescent="0.3">
      <c r="A155" s="3" t="s">
        <v>406</v>
      </c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DC155" s="1"/>
      <c r="DD155" s="1"/>
      <c r="DE155" s="1"/>
      <c r="DF155" s="1"/>
      <c r="DG155" s="1"/>
      <c r="DH155" s="1"/>
      <c r="DI155" s="1"/>
      <c r="DJ155" s="1"/>
      <c r="DK155" s="1"/>
      <c r="DL155" s="1"/>
      <c r="DM155" s="1"/>
      <c r="DN155" s="1"/>
      <c r="DO155" s="1"/>
      <c r="DP155" s="1"/>
      <c r="DQ155" s="1"/>
      <c r="DR155" s="1"/>
      <c r="DS155" s="1"/>
      <c r="DT155" s="1"/>
      <c r="DU155" s="1"/>
      <c r="DV155" s="1"/>
      <c r="DW155" s="1"/>
      <c r="DX155" s="1"/>
      <c r="DY155" s="1"/>
      <c r="DZ155" s="1"/>
      <c r="EA155" s="1"/>
      <c r="EB155" s="1"/>
      <c r="EC155" s="1"/>
      <c r="ED155" s="1"/>
    </row>
    <row r="156" spans="1:134" x14ac:dyDescent="0.25">
      <c r="A156" t="s">
        <v>273</v>
      </c>
      <c r="B156" s="1">
        <v>15783</v>
      </c>
      <c r="C156" s="1">
        <v>10198</v>
      </c>
      <c r="D156" s="1">
        <v>21696</v>
      </c>
      <c r="E156" s="1">
        <v>18060</v>
      </c>
      <c r="F156" s="1">
        <v>28049</v>
      </c>
      <c r="G156" s="1">
        <v>17302</v>
      </c>
      <c r="H156" s="1">
        <v>18970</v>
      </c>
      <c r="I156" s="1">
        <v>49399</v>
      </c>
      <c r="J156" s="1">
        <v>21801</v>
      </c>
      <c r="K156" s="1">
        <v>-16591</v>
      </c>
      <c r="L156" s="1">
        <v>1844</v>
      </c>
      <c r="M156" s="1">
        <v>752</v>
      </c>
      <c r="N156" t="s">
        <v>141</v>
      </c>
      <c r="O156" t="s">
        <v>140</v>
      </c>
      <c r="P156" t="s">
        <v>140</v>
      </c>
      <c r="Q156" t="s">
        <v>140</v>
      </c>
      <c r="R156" t="s">
        <v>140</v>
      </c>
      <c r="S156" t="s">
        <v>140</v>
      </c>
      <c r="T156" t="s">
        <v>140</v>
      </c>
      <c r="U156" t="s">
        <v>140</v>
      </c>
      <c r="V156" t="s">
        <v>140</v>
      </c>
      <c r="W156" t="s">
        <v>140</v>
      </c>
      <c r="X156" t="s">
        <v>140</v>
      </c>
      <c r="Y156" t="s">
        <v>140</v>
      </c>
      <c r="Z156" t="s">
        <v>140</v>
      </c>
      <c r="AA156" t="s">
        <v>140</v>
      </c>
      <c r="AB156" t="s">
        <v>140</v>
      </c>
      <c r="AC156" t="s">
        <v>140</v>
      </c>
      <c r="AD156" t="s">
        <v>140</v>
      </c>
      <c r="AE156" t="s">
        <v>140</v>
      </c>
      <c r="AF156" t="s">
        <v>140</v>
      </c>
      <c r="AG156" t="s">
        <v>140</v>
      </c>
      <c r="AH156" t="s">
        <v>140</v>
      </c>
      <c r="AI156" t="s">
        <v>140</v>
      </c>
      <c r="AJ156" t="s">
        <v>140</v>
      </c>
      <c r="AK156" t="s">
        <v>140</v>
      </c>
      <c r="AL156" t="s">
        <v>140</v>
      </c>
      <c r="AM156" t="s">
        <v>140</v>
      </c>
      <c r="AN156" t="s">
        <v>140</v>
      </c>
      <c r="AO156" t="s">
        <v>140</v>
      </c>
      <c r="AP156" t="s">
        <v>140</v>
      </c>
      <c r="AQ156" t="s">
        <v>140</v>
      </c>
      <c r="AR156" t="s">
        <v>140</v>
      </c>
      <c r="AS156" t="s">
        <v>140</v>
      </c>
      <c r="AT156" t="s">
        <v>140</v>
      </c>
      <c r="AU156" t="s">
        <v>140</v>
      </c>
      <c r="AV156" t="s">
        <v>140</v>
      </c>
      <c r="AW156" t="s">
        <v>140</v>
      </c>
      <c r="AX156" t="s">
        <v>140</v>
      </c>
      <c r="AY156" t="s">
        <v>140</v>
      </c>
      <c r="AZ156" t="s">
        <v>140</v>
      </c>
      <c r="BA156" t="s">
        <v>140</v>
      </c>
      <c r="BB156" t="s">
        <v>140</v>
      </c>
      <c r="BC156" t="s">
        <v>140</v>
      </c>
      <c r="BD156" t="s">
        <v>140</v>
      </c>
      <c r="BE156" t="s">
        <v>140</v>
      </c>
      <c r="BF156" t="s">
        <v>140</v>
      </c>
      <c r="BG156" t="s">
        <v>140</v>
      </c>
      <c r="BH156" t="s">
        <v>140</v>
      </c>
      <c r="BI156" t="s">
        <v>140</v>
      </c>
      <c r="BJ156" t="s">
        <v>140</v>
      </c>
      <c r="BK156" t="s">
        <v>140</v>
      </c>
      <c r="BL156" t="s">
        <v>140</v>
      </c>
      <c r="BM156" t="s">
        <v>140</v>
      </c>
      <c r="BN156" t="s">
        <v>140</v>
      </c>
      <c r="BO156" t="s">
        <v>140</v>
      </c>
      <c r="BP156" t="s">
        <v>140</v>
      </c>
      <c r="BQ156" t="s">
        <v>140</v>
      </c>
      <c r="BR156" t="s">
        <v>140</v>
      </c>
      <c r="BS156" t="s">
        <v>140</v>
      </c>
      <c r="BT156" t="s">
        <v>140</v>
      </c>
      <c r="BU156" t="s">
        <v>140</v>
      </c>
      <c r="BV156" t="s">
        <v>140</v>
      </c>
      <c r="BW156" t="s">
        <v>140</v>
      </c>
      <c r="BX156" t="s">
        <v>140</v>
      </c>
      <c r="BY156" t="s">
        <v>140</v>
      </c>
      <c r="BZ156" t="s">
        <v>140</v>
      </c>
      <c r="CA156" t="s">
        <v>140</v>
      </c>
      <c r="CB156" t="s">
        <v>140</v>
      </c>
      <c r="CC156" t="s">
        <v>140</v>
      </c>
      <c r="CD156" t="s">
        <v>140</v>
      </c>
      <c r="CE156" t="s">
        <v>140</v>
      </c>
      <c r="CF156" t="s">
        <v>140</v>
      </c>
      <c r="CG156" t="s">
        <v>140</v>
      </c>
      <c r="CH156" t="s">
        <v>140</v>
      </c>
      <c r="CI156" t="s">
        <v>140</v>
      </c>
      <c r="CJ156" t="s">
        <v>140</v>
      </c>
      <c r="CK156" t="s">
        <v>140</v>
      </c>
      <c r="CL156" t="s">
        <v>140</v>
      </c>
      <c r="CM156" t="s">
        <v>140</v>
      </c>
      <c r="CN156" t="s">
        <v>140</v>
      </c>
      <c r="CO156" t="s">
        <v>140</v>
      </c>
      <c r="CP156" t="s">
        <v>140</v>
      </c>
      <c r="CQ156" t="s">
        <v>140</v>
      </c>
      <c r="CR156" t="s">
        <v>140</v>
      </c>
      <c r="CS156" t="s">
        <v>140</v>
      </c>
      <c r="CT156" t="s">
        <v>140</v>
      </c>
      <c r="CU156" t="s">
        <v>140</v>
      </c>
      <c r="CV156" t="s">
        <v>140</v>
      </c>
      <c r="CW156" t="s">
        <v>140</v>
      </c>
      <c r="CX156" t="s">
        <v>140</v>
      </c>
      <c r="CY156" t="s">
        <v>140</v>
      </c>
      <c r="CZ156" t="s">
        <v>140</v>
      </c>
      <c r="DA156" t="s">
        <v>140</v>
      </c>
      <c r="DB156" t="s">
        <v>140</v>
      </c>
      <c r="DC156" s="1">
        <v>0</v>
      </c>
      <c r="DD156" s="1">
        <v>0</v>
      </c>
      <c r="DE156" s="1">
        <v>0</v>
      </c>
      <c r="DF156" s="1">
        <v>0</v>
      </c>
      <c r="DG156" s="1">
        <v>4380</v>
      </c>
      <c r="DH156" s="1">
        <v>7602</v>
      </c>
      <c r="DI156" s="1">
        <v>4438</v>
      </c>
      <c r="DJ156" s="1">
        <v>10842</v>
      </c>
      <c r="DK156" s="1">
        <v>4692</v>
      </c>
      <c r="DL156" s="1">
        <v>4910</v>
      </c>
      <c r="DM156" s="1">
        <v>8416</v>
      </c>
      <c r="DN156" s="1">
        <v>12646</v>
      </c>
      <c r="DO156" s="1">
        <v>7075</v>
      </c>
      <c r="DP156" s="1">
        <v>10230</v>
      </c>
      <c r="DQ156" s="1">
        <v>17032</v>
      </c>
      <c r="DR156" s="1">
        <v>10198</v>
      </c>
      <c r="DS156" s="1">
        <v>8040</v>
      </c>
      <c r="DT156" s="1">
        <v>8309</v>
      </c>
      <c r="DU156" s="1">
        <v>6057</v>
      </c>
      <c r="DV156" s="1">
        <v>11856</v>
      </c>
      <c r="DW156" s="1">
        <v>12139</v>
      </c>
      <c r="DX156" s="1">
        <v>35840</v>
      </c>
      <c r="DY156" s="1">
        <v>9335</v>
      </c>
      <c r="DZ156" s="1">
        <v>11107</v>
      </c>
      <c r="EA156" s="1">
        <v>6717</v>
      </c>
      <c r="EB156" s="1">
        <v>-24020</v>
      </c>
      <c r="EC156" s="1">
        <v>-4325</v>
      </c>
      <c r="ED156" s="1">
        <v>5077</v>
      </c>
    </row>
    <row r="157" spans="1:134" x14ac:dyDescent="0.25">
      <c r="A157" t="s">
        <v>210</v>
      </c>
      <c r="B157" s="1">
        <v>24</v>
      </c>
      <c r="C157" s="1">
        <v>25</v>
      </c>
      <c r="D157" s="1">
        <v>27</v>
      </c>
      <c r="E157" s="1">
        <v>20</v>
      </c>
      <c r="F157" s="1">
        <v>23</v>
      </c>
      <c r="G157" s="1">
        <v>22</v>
      </c>
      <c r="H157" s="1">
        <v>27</v>
      </c>
      <c r="I157" s="1">
        <v>20</v>
      </c>
      <c r="J157" s="1">
        <v>22</v>
      </c>
      <c r="K157" s="1">
        <v>75</v>
      </c>
      <c r="L157" s="1">
        <v>91</v>
      </c>
      <c r="M157" s="1">
        <v>0</v>
      </c>
      <c r="N157" t="s">
        <v>141</v>
      </c>
      <c r="O157" t="s">
        <v>140</v>
      </c>
      <c r="P157" t="s">
        <v>140</v>
      </c>
      <c r="Q157" t="s">
        <v>140</v>
      </c>
      <c r="R157" t="s">
        <v>140</v>
      </c>
      <c r="S157" t="s">
        <v>140</v>
      </c>
      <c r="T157" t="s">
        <v>140</v>
      </c>
      <c r="U157" t="s">
        <v>140</v>
      </c>
      <c r="V157" t="s">
        <v>140</v>
      </c>
      <c r="W157" t="s">
        <v>140</v>
      </c>
      <c r="X157" t="s">
        <v>140</v>
      </c>
      <c r="Y157" t="s">
        <v>140</v>
      </c>
      <c r="Z157" t="s">
        <v>140</v>
      </c>
      <c r="AA157" t="s">
        <v>140</v>
      </c>
      <c r="AB157" t="s">
        <v>140</v>
      </c>
      <c r="AC157" t="s">
        <v>140</v>
      </c>
      <c r="AD157" t="s">
        <v>140</v>
      </c>
      <c r="AE157" t="s">
        <v>140</v>
      </c>
      <c r="AF157" t="s">
        <v>140</v>
      </c>
      <c r="AG157" t="s">
        <v>140</v>
      </c>
      <c r="AH157" t="s">
        <v>140</v>
      </c>
      <c r="AI157" t="s">
        <v>140</v>
      </c>
      <c r="AJ157" t="s">
        <v>140</v>
      </c>
      <c r="AK157" t="s">
        <v>140</v>
      </c>
      <c r="AL157" t="s">
        <v>140</v>
      </c>
      <c r="AM157" t="s">
        <v>140</v>
      </c>
      <c r="AN157" t="s">
        <v>140</v>
      </c>
      <c r="AO157" t="s">
        <v>140</v>
      </c>
      <c r="AP157" t="s">
        <v>140</v>
      </c>
      <c r="AQ157" t="s">
        <v>140</v>
      </c>
      <c r="AR157" t="s">
        <v>140</v>
      </c>
      <c r="AS157" t="s">
        <v>140</v>
      </c>
      <c r="AT157" t="s">
        <v>140</v>
      </c>
      <c r="AU157" t="s">
        <v>140</v>
      </c>
      <c r="AV157" t="s">
        <v>140</v>
      </c>
      <c r="AW157" t="s">
        <v>140</v>
      </c>
      <c r="AX157" t="s">
        <v>140</v>
      </c>
      <c r="AY157" t="s">
        <v>140</v>
      </c>
      <c r="AZ157" t="s">
        <v>140</v>
      </c>
      <c r="BA157" t="s">
        <v>140</v>
      </c>
      <c r="BB157" t="s">
        <v>140</v>
      </c>
      <c r="BC157" t="s">
        <v>140</v>
      </c>
      <c r="BD157" t="s">
        <v>140</v>
      </c>
      <c r="BE157" t="s">
        <v>140</v>
      </c>
      <c r="BF157" t="s">
        <v>140</v>
      </c>
      <c r="BG157" t="s">
        <v>140</v>
      </c>
      <c r="BH157" t="s">
        <v>140</v>
      </c>
      <c r="BI157" t="s">
        <v>140</v>
      </c>
      <c r="BJ157" t="s">
        <v>140</v>
      </c>
      <c r="BK157" t="s">
        <v>140</v>
      </c>
      <c r="BL157" t="s">
        <v>140</v>
      </c>
      <c r="BM157" t="s">
        <v>140</v>
      </c>
      <c r="BN157" t="s">
        <v>140</v>
      </c>
      <c r="BO157" t="s">
        <v>140</v>
      </c>
      <c r="BP157" t="s">
        <v>140</v>
      </c>
      <c r="BQ157" t="s">
        <v>140</v>
      </c>
      <c r="BR157" t="s">
        <v>140</v>
      </c>
      <c r="BS157" t="s">
        <v>140</v>
      </c>
      <c r="BT157" t="s">
        <v>140</v>
      </c>
      <c r="BU157" t="s">
        <v>140</v>
      </c>
      <c r="BV157" t="s">
        <v>140</v>
      </c>
      <c r="BW157" t="s">
        <v>140</v>
      </c>
      <c r="BX157" t="s">
        <v>140</v>
      </c>
      <c r="BY157" t="s">
        <v>140</v>
      </c>
      <c r="BZ157" t="s">
        <v>140</v>
      </c>
      <c r="CA157" t="s">
        <v>140</v>
      </c>
      <c r="CB157" t="s">
        <v>140</v>
      </c>
      <c r="CC157" t="s">
        <v>140</v>
      </c>
      <c r="CD157" t="s">
        <v>140</v>
      </c>
      <c r="CE157" t="s">
        <v>140</v>
      </c>
      <c r="CF157" t="s">
        <v>140</v>
      </c>
      <c r="CG157" t="s">
        <v>140</v>
      </c>
      <c r="CH157" t="s">
        <v>140</v>
      </c>
      <c r="CI157" t="s">
        <v>140</v>
      </c>
      <c r="CJ157" t="s">
        <v>140</v>
      </c>
      <c r="CK157" t="s">
        <v>140</v>
      </c>
      <c r="CL157" t="s">
        <v>140</v>
      </c>
      <c r="CM157" t="s">
        <v>140</v>
      </c>
      <c r="CN157" t="s">
        <v>140</v>
      </c>
      <c r="CO157" t="s">
        <v>140</v>
      </c>
      <c r="CP157" t="s">
        <v>140</v>
      </c>
      <c r="CQ157" t="s">
        <v>140</v>
      </c>
      <c r="CR157" t="s">
        <v>140</v>
      </c>
      <c r="CS157" t="s">
        <v>140</v>
      </c>
      <c r="CT157" t="s">
        <v>140</v>
      </c>
      <c r="CU157" t="s">
        <v>140</v>
      </c>
      <c r="CV157" t="s">
        <v>140</v>
      </c>
      <c r="CW157" t="s">
        <v>140</v>
      </c>
      <c r="CX157" t="s">
        <v>140</v>
      </c>
      <c r="CY157" t="s">
        <v>140</v>
      </c>
      <c r="CZ157" t="s">
        <v>140</v>
      </c>
      <c r="DA157" t="s">
        <v>140</v>
      </c>
      <c r="DB157" t="s">
        <v>140</v>
      </c>
      <c r="DC157" s="1">
        <v>0</v>
      </c>
      <c r="DD157" s="1">
        <v>0</v>
      </c>
      <c r="DE157" s="1">
        <v>0</v>
      </c>
      <c r="DF157" s="1">
        <v>0</v>
      </c>
      <c r="DG157" s="1">
        <v>0</v>
      </c>
      <c r="DH157" s="1">
        <v>0</v>
      </c>
      <c r="DI157" s="1">
        <v>0</v>
      </c>
      <c r="DJ157" s="1">
        <v>0</v>
      </c>
      <c r="DK157" s="1">
        <v>0</v>
      </c>
      <c r="DL157" s="1">
        <v>0</v>
      </c>
      <c r="DM157" s="1">
        <v>0</v>
      </c>
      <c r="DN157" s="1">
        <v>0</v>
      </c>
      <c r="DO157" s="1">
        <v>0</v>
      </c>
      <c r="DP157" s="1">
        <v>0</v>
      </c>
      <c r="DQ157" s="1">
        <v>0</v>
      </c>
      <c r="DR157" s="1">
        <v>0</v>
      </c>
      <c r="DS157" s="1">
        <v>0</v>
      </c>
      <c r="DT157" s="1">
        <v>0</v>
      </c>
      <c r="DU157" s="1">
        <v>0</v>
      </c>
      <c r="DV157" s="1">
        <v>0</v>
      </c>
      <c r="DW157" s="1">
        <v>0</v>
      </c>
      <c r="DX157" s="1">
        <v>0</v>
      </c>
      <c r="DY157" s="1">
        <v>0</v>
      </c>
      <c r="DZ157" s="1">
        <v>0</v>
      </c>
      <c r="EA157" s="1">
        <v>0</v>
      </c>
      <c r="EB157" s="1">
        <v>0</v>
      </c>
      <c r="EC157" s="1">
        <v>0</v>
      </c>
      <c r="ED157" s="1">
        <v>0</v>
      </c>
    </row>
    <row r="158" spans="1:134" x14ac:dyDescent="0.25">
      <c r="A158" t="s">
        <v>274</v>
      </c>
      <c r="B158" s="1">
        <v>9</v>
      </c>
      <c r="C158" s="1">
        <v>-18</v>
      </c>
      <c r="D158" s="1">
        <v>-33</v>
      </c>
      <c r="E158" s="1">
        <v>-25</v>
      </c>
      <c r="F158" s="1">
        <v>-74</v>
      </c>
      <c r="G158" s="1">
        <v>-96</v>
      </c>
      <c r="H158" s="1">
        <v>-79</v>
      </c>
      <c r="I158" s="1">
        <v>-168</v>
      </c>
      <c r="J158" s="1">
        <v>-90</v>
      </c>
      <c r="K158" s="1">
        <v>-300</v>
      </c>
      <c r="L158" s="1">
        <v>-130</v>
      </c>
      <c r="M158" s="1">
        <v>0</v>
      </c>
      <c r="N158" t="s">
        <v>141</v>
      </c>
      <c r="O158" t="s">
        <v>140</v>
      </c>
      <c r="P158" t="s">
        <v>140</v>
      </c>
      <c r="Q158" t="s">
        <v>140</v>
      </c>
      <c r="R158" t="s">
        <v>140</v>
      </c>
      <c r="S158" t="s">
        <v>140</v>
      </c>
      <c r="T158" t="s">
        <v>140</v>
      </c>
      <c r="U158" t="s">
        <v>140</v>
      </c>
      <c r="V158" t="s">
        <v>140</v>
      </c>
      <c r="W158" t="s">
        <v>140</v>
      </c>
      <c r="X158" t="s">
        <v>140</v>
      </c>
      <c r="Y158" t="s">
        <v>140</v>
      </c>
      <c r="Z158" t="s">
        <v>140</v>
      </c>
      <c r="AA158" t="s">
        <v>140</v>
      </c>
      <c r="AB158" t="s">
        <v>140</v>
      </c>
      <c r="AC158" t="s">
        <v>140</v>
      </c>
      <c r="AD158" t="s">
        <v>140</v>
      </c>
      <c r="AE158" t="s">
        <v>140</v>
      </c>
      <c r="AF158" t="s">
        <v>140</v>
      </c>
      <c r="AG158" t="s">
        <v>140</v>
      </c>
      <c r="AH158" t="s">
        <v>140</v>
      </c>
      <c r="AI158" t="s">
        <v>140</v>
      </c>
      <c r="AJ158" t="s">
        <v>140</v>
      </c>
      <c r="AK158" t="s">
        <v>140</v>
      </c>
      <c r="AL158" t="s">
        <v>140</v>
      </c>
      <c r="AM158" t="s">
        <v>140</v>
      </c>
      <c r="AN158" t="s">
        <v>140</v>
      </c>
      <c r="AO158" t="s">
        <v>140</v>
      </c>
      <c r="AP158" t="s">
        <v>140</v>
      </c>
      <c r="AQ158" t="s">
        <v>140</v>
      </c>
      <c r="AR158" t="s">
        <v>140</v>
      </c>
      <c r="AS158" t="s">
        <v>140</v>
      </c>
      <c r="AT158" t="s">
        <v>140</v>
      </c>
      <c r="AU158" t="s">
        <v>140</v>
      </c>
      <c r="AV158" t="s">
        <v>140</v>
      </c>
      <c r="AW158" t="s">
        <v>140</v>
      </c>
      <c r="AX158" t="s">
        <v>140</v>
      </c>
      <c r="AY158" t="s">
        <v>140</v>
      </c>
      <c r="AZ158" t="s">
        <v>140</v>
      </c>
      <c r="BA158" t="s">
        <v>140</v>
      </c>
      <c r="BB158" t="s">
        <v>140</v>
      </c>
      <c r="BC158" t="s">
        <v>140</v>
      </c>
      <c r="BD158" t="s">
        <v>140</v>
      </c>
      <c r="BE158" t="s">
        <v>140</v>
      </c>
      <c r="BF158" t="s">
        <v>140</v>
      </c>
      <c r="BG158" t="s">
        <v>140</v>
      </c>
      <c r="BH158" t="s">
        <v>140</v>
      </c>
      <c r="BI158" t="s">
        <v>140</v>
      </c>
      <c r="BJ158" t="s">
        <v>140</v>
      </c>
      <c r="BK158" t="s">
        <v>140</v>
      </c>
      <c r="BL158" t="s">
        <v>140</v>
      </c>
      <c r="BM158" t="s">
        <v>140</v>
      </c>
      <c r="BN158" t="s">
        <v>140</v>
      </c>
      <c r="BO158" t="s">
        <v>140</v>
      </c>
      <c r="BP158" t="s">
        <v>140</v>
      </c>
      <c r="BQ158" t="s">
        <v>140</v>
      </c>
      <c r="BR158" t="s">
        <v>140</v>
      </c>
      <c r="BS158" t="s">
        <v>140</v>
      </c>
      <c r="BT158" t="s">
        <v>140</v>
      </c>
      <c r="BU158" t="s">
        <v>140</v>
      </c>
      <c r="BV158" t="s">
        <v>140</v>
      </c>
      <c r="BW158" t="s">
        <v>140</v>
      </c>
      <c r="BX158" t="s">
        <v>140</v>
      </c>
      <c r="BY158" t="s">
        <v>140</v>
      </c>
      <c r="BZ158" t="s">
        <v>140</v>
      </c>
      <c r="CA158" t="s">
        <v>140</v>
      </c>
      <c r="CB158" t="s">
        <v>140</v>
      </c>
      <c r="CC158" t="s">
        <v>140</v>
      </c>
      <c r="CD158" t="s">
        <v>140</v>
      </c>
      <c r="CE158" t="s">
        <v>140</v>
      </c>
      <c r="CF158" t="s">
        <v>140</v>
      </c>
      <c r="CG158" t="s">
        <v>140</v>
      </c>
      <c r="CH158" t="s">
        <v>140</v>
      </c>
      <c r="CI158" t="s">
        <v>140</v>
      </c>
      <c r="CJ158" t="s">
        <v>140</v>
      </c>
      <c r="CK158" t="s">
        <v>140</v>
      </c>
      <c r="CL158" t="s">
        <v>140</v>
      </c>
      <c r="CM158" t="s">
        <v>140</v>
      </c>
      <c r="CN158" t="s">
        <v>140</v>
      </c>
      <c r="CO158" t="s">
        <v>140</v>
      </c>
      <c r="CP158" t="s">
        <v>140</v>
      </c>
      <c r="CQ158" t="s">
        <v>140</v>
      </c>
      <c r="CR158" t="s">
        <v>140</v>
      </c>
      <c r="CS158" t="s">
        <v>140</v>
      </c>
      <c r="CT158" t="s">
        <v>140</v>
      </c>
      <c r="CU158" t="s">
        <v>140</v>
      </c>
      <c r="CV158" t="s">
        <v>140</v>
      </c>
      <c r="CW158" t="s">
        <v>140</v>
      </c>
      <c r="CX158" t="s">
        <v>140</v>
      </c>
      <c r="CY158" t="s">
        <v>140</v>
      </c>
      <c r="CZ158" t="s">
        <v>140</v>
      </c>
      <c r="DA158" t="s">
        <v>140</v>
      </c>
      <c r="DB158" t="s">
        <v>140</v>
      </c>
      <c r="DC158" s="1">
        <v>0</v>
      </c>
      <c r="DD158" s="1">
        <v>0</v>
      </c>
      <c r="DE158" s="1">
        <v>0</v>
      </c>
      <c r="DF158" s="1">
        <v>0</v>
      </c>
      <c r="DG158" s="1">
        <v>0</v>
      </c>
      <c r="DH158" s="1">
        <v>0</v>
      </c>
      <c r="DI158" s="1">
        <v>0</v>
      </c>
      <c r="DJ158" s="1">
        <v>0</v>
      </c>
      <c r="DK158" s="1">
        <v>0</v>
      </c>
      <c r="DL158" s="1">
        <v>0</v>
      </c>
      <c r="DM158" s="1">
        <v>0</v>
      </c>
      <c r="DN158" s="1">
        <v>0</v>
      </c>
      <c r="DO158" s="1">
        <v>0</v>
      </c>
      <c r="DP158" s="1">
        <v>0</v>
      </c>
      <c r="DQ158" s="1">
        <v>0</v>
      </c>
      <c r="DR158" s="1">
        <v>0</v>
      </c>
      <c r="DS158" s="1">
        <v>0</v>
      </c>
      <c r="DT158" s="1">
        <v>0</v>
      </c>
      <c r="DU158" s="1">
        <v>0</v>
      </c>
      <c r="DV158" s="1">
        <v>0</v>
      </c>
      <c r="DW158" s="1">
        <v>0</v>
      </c>
      <c r="DX158" s="1">
        <v>0</v>
      </c>
      <c r="DY158" s="1">
        <v>0</v>
      </c>
      <c r="DZ158" s="1">
        <v>0</v>
      </c>
      <c r="EA158" s="1">
        <v>0</v>
      </c>
      <c r="EB158" s="1">
        <v>0</v>
      </c>
      <c r="EC158" s="1">
        <v>0</v>
      </c>
      <c r="ED158" s="1">
        <v>0</v>
      </c>
    </row>
    <row r="159" spans="1:134" x14ac:dyDescent="0.25">
      <c r="A159" t="s">
        <v>275</v>
      </c>
      <c r="B159" s="1">
        <v>0</v>
      </c>
      <c r="C159" s="1">
        <v>0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  <c r="M159" s="1">
        <v>0</v>
      </c>
      <c r="N159" t="s">
        <v>141</v>
      </c>
      <c r="O159" t="s">
        <v>140</v>
      </c>
      <c r="P159" t="s">
        <v>140</v>
      </c>
      <c r="Q159" t="s">
        <v>140</v>
      </c>
      <c r="R159" t="s">
        <v>140</v>
      </c>
      <c r="S159" t="s">
        <v>140</v>
      </c>
      <c r="T159" t="s">
        <v>140</v>
      </c>
      <c r="U159" t="s">
        <v>140</v>
      </c>
      <c r="V159" t="s">
        <v>140</v>
      </c>
      <c r="W159" t="s">
        <v>140</v>
      </c>
      <c r="X159" t="s">
        <v>140</v>
      </c>
      <c r="Y159" t="s">
        <v>140</v>
      </c>
      <c r="Z159" t="s">
        <v>140</v>
      </c>
      <c r="AA159" t="s">
        <v>140</v>
      </c>
      <c r="AB159" t="s">
        <v>140</v>
      </c>
      <c r="AC159" t="s">
        <v>140</v>
      </c>
      <c r="AD159" t="s">
        <v>140</v>
      </c>
      <c r="AE159" t="s">
        <v>140</v>
      </c>
      <c r="AF159" t="s">
        <v>140</v>
      </c>
      <c r="AG159" t="s">
        <v>140</v>
      </c>
      <c r="AH159" t="s">
        <v>140</v>
      </c>
      <c r="AI159" t="s">
        <v>140</v>
      </c>
      <c r="AJ159" t="s">
        <v>140</v>
      </c>
      <c r="AK159" t="s">
        <v>140</v>
      </c>
      <c r="AL159" t="s">
        <v>140</v>
      </c>
      <c r="AM159" t="s">
        <v>140</v>
      </c>
      <c r="AN159" t="s">
        <v>140</v>
      </c>
      <c r="AO159" t="s">
        <v>140</v>
      </c>
      <c r="AP159" t="s">
        <v>140</v>
      </c>
      <c r="AQ159" t="s">
        <v>140</v>
      </c>
      <c r="AR159" t="s">
        <v>140</v>
      </c>
      <c r="AS159" t="s">
        <v>140</v>
      </c>
      <c r="AT159" t="s">
        <v>140</v>
      </c>
      <c r="AU159" t="s">
        <v>140</v>
      </c>
      <c r="AV159" t="s">
        <v>140</v>
      </c>
      <c r="AW159" t="s">
        <v>140</v>
      </c>
      <c r="AX159" t="s">
        <v>140</v>
      </c>
      <c r="AY159" t="s">
        <v>140</v>
      </c>
      <c r="AZ159" t="s">
        <v>140</v>
      </c>
      <c r="BA159" t="s">
        <v>140</v>
      </c>
      <c r="BB159" t="s">
        <v>140</v>
      </c>
      <c r="BC159" t="s">
        <v>140</v>
      </c>
      <c r="BD159" t="s">
        <v>140</v>
      </c>
      <c r="BE159" t="s">
        <v>140</v>
      </c>
      <c r="BF159" t="s">
        <v>140</v>
      </c>
      <c r="BG159" t="s">
        <v>140</v>
      </c>
      <c r="BH159" t="s">
        <v>140</v>
      </c>
      <c r="BI159" t="s">
        <v>140</v>
      </c>
      <c r="BJ159" t="s">
        <v>140</v>
      </c>
      <c r="BK159" t="s">
        <v>140</v>
      </c>
      <c r="BL159" t="s">
        <v>140</v>
      </c>
      <c r="BM159" t="s">
        <v>140</v>
      </c>
      <c r="BN159" t="s">
        <v>140</v>
      </c>
      <c r="BO159" t="s">
        <v>140</v>
      </c>
      <c r="BP159" t="s">
        <v>140</v>
      </c>
      <c r="BQ159" t="s">
        <v>140</v>
      </c>
      <c r="BR159" t="s">
        <v>140</v>
      </c>
      <c r="BS159" t="s">
        <v>140</v>
      </c>
      <c r="BT159" t="s">
        <v>140</v>
      </c>
      <c r="BU159" t="s">
        <v>140</v>
      </c>
      <c r="BV159" t="s">
        <v>140</v>
      </c>
      <c r="BW159" t="s">
        <v>140</v>
      </c>
      <c r="BX159" t="s">
        <v>140</v>
      </c>
      <c r="BY159" t="s">
        <v>140</v>
      </c>
      <c r="BZ159" t="s">
        <v>140</v>
      </c>
      <c r="CA159" t="s">
        <v>140</v>
      </c>
      <c r="CB159" t="s">
        <v>140</v>
      </c>
      <c r="CC159" t="s">
        <v>140</v>
      </c>
      <c r="CD159" t="s">
        <v>140</v>
      </c>
      <c r="CE159" t="s">
        <v>140</v>
      </c>
      <c r="CF159" t="s">
        <v>140</v>
      </c>
      <c r="CG159" t="s">
        <v>140</v>
      </c>
      <c r="CH159" t="s">
        <v>140</v>
      </c>
      <c r="CI159" t="s">
        <v>140</v>
      </c>
      <c r="CJ159" t="s">
        <v>140</v>
      </c>
      <c r="CK159" t="s">
        <v>140</v>
      </c>
      <c r="CL159" t="s">
        <v>140</v>
      </c>
      <c r="CM159" t="s">
        <v>140</v>
      </c>
      <c r="CN159" t="s">
        <v>140</v>
      </c>
      <c r="CO159" t="s">
        <v>140</v>
      </c>
      <c r="CP159" t="s">
        <v>140</v>
      </c>
      <c r="CQ159" t="s">
        <v>140</v>
      </c>
      <c r="CR159" t="s">
        <v>140</v>
      </c>
      <c r="CS159" t="s">
        <v>140</v>
      </c>
      <c r="CT159" t="s">
        <v>140</v>
      </c>
      <c r="CU159" t="s">
        <v>140</v>
      </c>
      <c r="CV159" t="s">
        <v>140</v>
      </c>
      <c r="CW159" t="s">
        <v>140</v>
      </c>
      <c r="CX159" t="s">
        <v>140</v>
      </c>
      <c r="CY159" t="s">
        <v>140</v>
      </c>
      <c r="CZ159" t="s">
        <v>140</v>
      </c>
      <c r="DA159" t="s">
        <v>140</v>
      </c>
      <c r="DB159" t="s">
        <v>140</v>
      </c>
      <c r="DC159" s="1">
        <v>0</v>
      </c>
      <c r="DD159" s="1">
        <v>0</v>
      </c>
      <c r="DE159" s="1">
        <v>0</v>
      </c>
      <c r="DF159" s="1">
        <v>0</v>
      </c>
      <c r="DG159" s="1">
        <v>0</v>
      </c>
      <c r="DH159" s="1">
        <v>0</v>
      </c>
      <c r="DI159" s="1">
        <v>0</v>
      </c>
      <c r="DJ159" s="1">
        <v>0</v>
      </c>
      <c r="DK159" s="1">
        <v>0</v>
      </c>
      <c r="DL159" s="1">
        <v>0</v>
      </c>
      <c r="DM159" s="1">
        <v>0</v>
      </c>
      <c r="DN159" s="1">
        <v>0</v>
      </c>
      <c r="DO159" s="1">
        <v>0</v>
      </c>
      <c r="DP159" s="1">
        <v>0</v>
      </c>
      <c r="DQ159" s="1">
        <v>0</v>
      </c>
      <c r="DR159" s="1">
        <v>0</v>
      </c>
      <c r="DS159" s="1">
        <v>0</v>
      </c>
      <c r="DT159" s="1">
        <v>0</v>
      </c>
      <c r="DU159" s="1">
        <v>0</v>
      </c>
      <c r="DV159" s="1">
        <v>0</v>
      </c>
      <c r="DW159" s="1">
        <v>0</v>
      </c>
      <c r="DX159" s="1">
        <v>0</v>
      </c>
      <c r="DY159" s="1">
        <v>0</v>
      </c>
      <c r="DZ159" s="1">
        <v>0</v>
      </c>
      <c r="EA159" s="1">
        <v>0</v>
      </c>
      <c r="EB159" s="1">
        <v>0</v>
      </c>
      <c r="EC159" s="1">
        <v>0</v>
      </c>
      <c r="ED159" s="1">
        <v>0</v>
      </c>
    </row>
    <row r="160" spans="1:134" x14ac:dyDescent="0.25">
      <c r="A160" t="s">
        <v>276</v>
      </c>
      <c r="B160" s="1">
        <v>0</v>
      </c>
      <c r="C160" s="1">
        <v>150</v>
      </c>
      <c r="D160" s="1">
        <v>97</v>
      </c>
      <c r="E160" s="1">
        <v>107</v>
      </c>
      <c r="F160" s="1">
        <v>72</v>
      </c>
      <c r="G160" s="1">
        <v>105</v>
      </c>
      <c r="H160" s="1">
        <v>92</v>
      </c>
      <c r="I160" s="1">
        <v>169</v>
      </c>
      <c r="J160" s="1">
        <v>8</v>
      </c>
      <c r="K160" s="1">
        <v>25</v>
      </c>
      <c r="L160" s="1">
        <v>-22</v>
      </c>
      <c r="M160" s="1">
        <v>0</v>
      </c>
      <c r="N160" t="s">
        <v>141</v>
      </c>
      <c r="O160" t="s">
        <v>140</v>
      </c>
      <c r="P160" t="s">
        <v>140</v>
      </c>
      <c r="Q160" t="s">
        <v>140</v>
      </c>
      <c r="R160" t="s">
        <v>140</v>
      </c>
      <c r="S160" t="s">
        <v>140</v>
      </c>
      <c r="T160" t="s">
        <v>140</v>
      </c>
      <c r="U160" t="s">
        <v>140</v>
      </c>
      <c r="V160" t="s">
        <v>140</v>
      </c>
      <c r="W160" t="s">
        <v>140</v>
      </c>
      <c r="X160" t="s">
        <v>140</v>
      </c>
      <c r="Y160" t="s">
        <v>140</v>
      </c>
      <c r="Z160" t="s">
        <v>140</v>
      </c>
      <c r="AA160" t="s">
        <v>140</v>
      </c>
      <c r="AB160" t="s">
        <v>140</v>
      </c>
      <c r="AC160" t="s">
        <v>140</v>
      </c>
      <c r="AD160" t="s">
        <v>140</v>
      </c>
      <c r="AE160" t="s">
        <v>140</v>
      </c>
      <c r="AF160" t="s">
        <v>140</v>
      </c>
      <c r="AG160" t="s">
        <v>140</v>
      </c>
      <c r="AH160" t="s">
        <v>140</v>
      </c>
      <c r="AI160" t="s">
        <v>140</v>
      </c>
      <c r="AJ160" t="s">
        <v>140</v>
      </c>
      <c r="AK160" t="s">
        <v>140</v>
      </c>
      <c r="AL160" t="s">
        <v>140</v>
      </c>
      <c r="AM160" t="s">
        <v>140</v>
      </c>
      <c r="AN160" t="s">
        <v>140</v>
      </c>
      <c r="AO160" t="s">
        <v>140</v>
      </c>
      <c r="AP160" t="s">
        <v>140</v>
      </c>
      <c r="AQ160" t="s">
        <v>140</v>
      </c>
      <c r="AR160" t="s">
        <v>140</v>
      </c>
      <c r="AS160" t="s">
        <v>140</v>
      </c>
      <c r="AT160" t="s">
        <v>140</v>
      </c>
      <c r="AU160" t="s">
        <v>140</v>
      </c>
      <c r="AV160" t="s">
        <v>140</v>
      </c>
      <c r="AW160" t="s">
        <v>140</v>
      </c>
      <c r="AX160" t="s">
        <v>140</v>
      </c>
      <c r="AY160" t="s">
        <v>140</v>
      </c>
      <c r="AZ160" t="s">
        <v>140</v>
      </c>
      <c r="BA160" t="s">
        <v>140</v>
      </c>
      <c r="BB160" t="s">
        <v>140</v>
      </c>
      <c r="BC160" t="s">
        <v>140</v>
      </c>
      <c r="BD160" t="s">
        <v>140</v>
      </c>
      <c r="BE160" t="s">
        <v>140</v>
      </c>
      <c r="BF160" t="s">
        <v>140</v>
      </c>
      <c r="BG160" t="s">
        <v>140</v>
      </c>
      <c r="BH160" t="s">
        <v>140</v>
      </c>
      <c r="BI160" t="s">
        <v>140</v>
      </c>
      <c r="BJ160" t="s">
        <v>140</v>
      </c>
      <c r="BK160" t="s">
        <v>140</v>
      </c>
      <c r="BL160" t="s">
        <v>140</v>
      </c>
      <c r="BM160" t="s">
        <v>140</v>
      </c>
      <c r="BN160" t="s">
        <v>140</v>
      </c>
      <c r="BO160" t="s">
        <v>140</v>
      </c>
      <c r="BP160" t="s">
        <v>140</v>
      </c>
      <c r="BQ160" t="s">
        <v>140</v>
      </c>
      <c r="BR160" t="s">
        <v>140</v>
      </c>
      <c r="BS160" t="s">
        <v>140</v>
      </c>
      <c r="BT160" t="s">
        <v>140</v>
      </c>
      <c r="BU160" t="s">
        <v>140</v>
      </c>
      <c r="BV160" t="s">
        <v>140</v>
      </c>
      <c r="BW160" t="s">
        <v>140</v>
      </c>
      <c r="BX160" t="s">
        <v>140</v>
      </c>
      <c r="BY160" t="s">
        <v>140</v>
      </c>
      <c r="BZ160" t="s">
        <v>140</v>
      </c>
      <c r="CA160" t="s">
        <v>140</v>
      </c>
      <c r="CB160" t="s">
        <v>140</v>
      </c>
      <c r="CC160" t="s">
        <v>140</v>
      </c>
      <c r="CD160" t="s">
        <v>140</v>
      </c>
      <c r="CE160" t="s">
        <v>140</v>
      </c>
      <c r="CF160" t="s">
        <v>140</v>
      </c>
      <c r="CG160" t="s">
        <v>140</v>
      </c>
      <c r="CH160" t="s">
        <v>140</v>
      </c>
      <c r="CI160" t="s">
        <v>140</v>
      </c>
      <c r="CJ160" t="s">
        <v>140</v>
      </c>
      <c r="CK160" t="s">
        <v>140</v>
      </c>
      <c r="CL160" t="s">
        <v>140</v>
      </c>
      <c r="CM160" t="s">
        <v>140</v>
      </c>
      <c r="CN160" t="s">
        <v>140</v>
      </c>
      <c r="CO160" t="s">
        <v>140</v>
      </c>
      <c r="CP160" t="s">
        <v>140</v>
      </c>
      <c r="CQ160" t="s">
        <v>140</v>
      </c>
      <c r="CR160" t="s">
        <v>140</v>
      </c>
      <c r="CS160" t="s">
        <v>140</v>
      </c>
      <c r="CT160" t="s">
        <v>140</v>
      </c>
      <c r="CU160" t="s">
        <v>140</v>
      </c>
      <c r="CV160" t="s">
        <v>140</v>
      </c>
      <c r="CW160" t="s">
        <v>140</v>
      </c>
      <c r="CX160" t="s">
        <v>140</v>
      </c>
      <c r="CY160" t="s">
        <v>140</v>
      </c>
      <c r="CZ160" t="s">
        <v>140</v>
      </c>
      <c r="DA160" t="s">
        <v>140</v>
      </c>
      <c r="DB160" t="s">
        <v>140</v>
      </c>
      <c r="DC160" s="1">
        <v>0</v>
      </c>
      <c r="DD160" s="1">
        <v>0</v>
      </c>
      <c r="DE160" s="1">
        <v>0</v>
      </c>
      <c r="DF160" s="1">
        <v>0</v>
      </c>
      <c r="DG160" s="1">
        <v>0</v>
      </c>
      <c r="DH160" s="1">
        <v>0</v>
      </c>
      <c r="DI160" s="1">
        <v>0</v>
      </c>
      <c r="DJ160" s="1">
        <v>0</v>
      </c>
      <c r="DK160" s="1">
        <v>0</v>
      </c>
      <c r="DL160" s="1">
        <v>0</v>
      </c>
      <c r="DM160" s="1">
        <v>0</v>
      </c>
      <c r="DN160" s="1">
        <v>0</v>
      </c>
      <c r="DO160" s="1">
        <v>0</v>
      </c>
      <c r="DP160" s="1">
        <v>0</v>
      </c>
      <c r="DQ160" s="1">
        <v>0</v>
      </c>
      <c r="DR160" s="1">
        <v>0</v>
      </c>
      <c r="DS160" s="1">
        <v>0</v>
      </c>
      <c r="DT160" s="1">
        <v>0</v>
      </c>
      <c r="DU160" s="1">
        <v>0</v>
      </c>
      <c r="DV160" s="1">
        <v>0</v>
      </c>
      <c r="DW160" s="1">
        <v>0</v>
      </c>
      <c r="DX160" s="1">
        <v>0</v>
      </c>
      <c r="DY160" s="1">
        <v>0</v>
      </c>
      <c r="DZ160" s="1">
        <v>0</v>
      </c>
      <c r="EA160" s="1">
        <v>0</v>
      </c>
      <c r="EB160" s="1">
        <v>0</v>
      </c>
      <c r="EC160" s="1">
        <v>0</v>
      </c>
      <c r="ED160" s="1">
        <v>0</v>
      </c>
    </row>
    <row r="161" spans="1:134" x14ac:dyDescent="0.25">
      <c r="A161" t="s">
        <v>277</v>
      </c>
      <c r="B161" s="1">
        <v>0</v>
      </c>
      <c r="C161" s="1">
        <v>0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  <c r="M161" s="1">
        <v>0</v>
      </c>
      <c r="N161" t="s">
        <v>141</v>
      </c>
      <c r="O161" t="s">
        <v>140</v>
      </c>
      <c r="P161" t="s">
        <v>140</v>
      </c>
      <c r="Q161" t="s">
        <v>140</v>
      </c>
      <c r="R161" t="s">
        <v>140</v>
      </c>
      <c r="S161" t="s">
        <v>140</v>
      </c>
      <c r="T161" t="s">
        <v>140</v>
      </c>
      <c r="U161" t="s">
        <v>140</v>
      </c>
      <c r="V161" t="s">
        <v>140</v>
      </c>
      <c r="W161" t="s">
        <v>140</v>
      </c>
      <c r="X161" t="s">
        <v>140</v>
      </c>
      <c r="Y161" t="s">
        <v>140</v>
      </c>
      <c r="Z161" t="s">
        <v>140</v>
      </c>
      <c r="AA161" t="s">
        <v>140</v>
      </c>
      <c r="AB161" t="s">
        <v>140</v>
      </c>
      <c r="AC161" t="s">
        <v>140</v>
      </c>
      <c r="AD161" t="s">
        <v>140</v>
      </c>
      <c r="AE161" t="s">
        <v>140</v>
      </c>
      <c r="AF161" t="s">
        <v>140</v>
      </c>
      <c r="AG161" t="s">
        <v>140</v>
      </c>
      <c r="AH161" t="s">
        <v>140</v>
      </c>
      <c r="AI161" t="s">
        <v>140</v>
      </c>
      <c r="AJ161" t="s">
        <v>140</v>
      </c>
      <c r="AK161" t="s">
        <v>140</v>
      </c>
      <c r="AL161" t="s">
        <v>140</v>
      </c>
      <c r="AM161" t="s">
        <v>140</v>
      </c>
      <c r="AN161" t="s">
        <v>140</v>
      </c>
      <c r="AO161" t="s">
        <v>140</v>
      </c>
      <c r="AP161" t="s">
        <v>140</v>
      </c>
      <c r="AQ161" t="s">
        <v>140</v>
      </c>
      <c r="AR161" t="s">
        <v>140</v>
      </c>
      <c r="AS161" t="s">
        <v>140</v>
      </c>
      <c r="AT161" t="s">
        <v>140</v>
      </c>
      <c r="AU161" t="s">
        <v>140</v>
      </c>
      <c r="AV161" t="s">
        <v>140</v>
      </c>
      <c r="AW161" t="s">
        <v>140</v>
      </c>
      <c r="AX161" t="s">
        <v>140</v>
      </c>
      <c r="AY161" t="s">
        <v>140</v>
      </c>
      <c r="AZ161" t="s">
        <v>140</v>
      </c>
      <c r="BA161" t="s">
        <v>140</v>
      </c>
      <c r="BB161" t="s">
        <v>140</v>
      </c>
      <c r="BC161" t="s">
        <v>140</v>
      </c>
      <c r="BD161" t="s">
        <v>140</v>
      </c>
      <c r="BE161" t="s">
        <v>140</v>
      </c>
      <c r="BF161" t="s">
        <v>140</v>
      </c>
      <c r="BG161" t="s">
        <v>140</v>
      </c>
      <c r="BH161" t="s">
        <v>140</v>
      </c>
      <c r="BI161" t="s">
        <v>140</v>
      </c>
      <c r="BJ161" t="s">
        <v>140</v>
      </c>
      <c r="BK161" t="s">
        <v>140</v>
      </c>
      <c r="BL161" t="s">
        <v>140</v>
      </c>
      <c r="BM161" t="s">
        <v>140</v>
      </c>
      <c r="BN161" t="s">
        <v>140</v>
      </c>
      <c r="BO161" t="s">
        <v>140</v>
      </c>
      <c r="BP161" t="s">
        <v>140</v>
      </c>
      <c r="BQ161" t="s">
        <v>140</v>
      </c>
      <c r="BR161" t="s">
        <v>140</v>
      </c>
      <c r="BS161" t="s">
        <v>140</v>
      </c>
      <c r="BT161" t="s">
        <v>140</v>
      </c>
      <c r="BU161" t="s">
        <v>140</v>
      </c>
      <c r="BV161" t="s">
        <v>140</v>
      </c>
      <c r="BW161" t="s">
        <v>140</v>
      </c>
      <c r="BX161" t="s">
        <v>140</v>
      </c>
      <c r="BY161" t="s">
        <v>140</v>
      </c>
      <c r="BZ161" t="s">
        <v>140</v>
      </c>
      <c r="CA161" t="s">
        <v>140</v>
      </c>
      <c r="CB161" t="s">
        <v>140</v>
      </c>
      <c r="CC161" t="s">
        <v>140</v>
      </c>
      <c r="CD161" t="s">
        <v>140</v>
      </c>
      <c r="CE161" t="s">
        <v>140</v>
      </c>
      <c r="CF161" t="s">
        <v>140</v>
      </c>
      <c r="CG161" t="s">
        <v>140</v>
      </c>
      <c r="CH161" t="s">
        <v>140</v>
      </c>
      <c r="CI161" t="s">
        <v>140</v>
      </c>
      <c r="CJ161" t="s">
        <v>140</v>
      </c>
      <c r="CK161" t="s">
        <v>140</v>
      </c>
      <c r="CL161" t="s">
        <v>140</v>
      </c>
      <c r="CM161" t="s">
        <v>140</v>
      </c>
      <c r="CN161" t="s">
        <v>140</v>
      </c>
      <c r="CO161" t="s">
        <v>140</v>
      </c>
      <c r="CP161" t="s">
        <v>140</v>
      </c>
      <c r="CQ161" t="s">
        <v>140</v>
      </c>
      <c r="CR161" t="s">
        <v>140</v>
      </c>
      <c r="CS161" t="s">
        <v>140</v>
      </c>
      <c r="CT161" t="s">
        <v>140</v>
      </c>
      <c r="CU161" t="s">
        <v>140</v>
      </c>
      <c r="CV161" t="s">
        <v>140</v>
      </c>
      <c r="CW161" t="s">
        <v>140</v>
      </c>
      <c r="CX161" t="s">
        <v>140</v>
      </c>
      <c r="CY161" t="s">
        <v>140</v>
      </c>
      <c r="CZ161" t="s">
        <v>140</v>
      </c>
      <c r="DA161" t="s">
        <v>140</v>
      </c>
      <c r="DB161" t="s">
        <v>140</v>
      </c>
      <c r="DC161" s="1">
        <v>0</v>
      </c>
      <c r="DD161" s="1">
        <v>0</v>
      </c>
      <c r="DE161" s="1">
        <v>0</v>
      </c>
      <c r="DF161" s="1">
        <v>0</v>
      </c>
      <c r="DG161" s="1">
        <v>0</v>
      </c>
      <c r="DH161" s="1">
        <v>0</v>
      </c>
      <c r="DI161" s="1">
        <v>0</v>
      </c>
      <c r="DJ161" s="1">
        <v>0</v>
      </c>
      <c r="DK161" s="1">
        <v>0</v>
      </c>
      <c r="DL161" s="1">
        <v>0</v>
      </c>
      <c r="DM161" s="1">
        <v>0</v>
      </c>
      <c r="DN161" s="1">
        <v>0</v>
      </c>
      <c r="DO161" s="1">
        <v>0</v>
      </c>
      <c r="DP161" s="1">
        <v>0</v>
      </c>
      <c r="DQ161" s="1">
        <v>0</v>
      </c>
      <c r="DR161" s="1">
        <v>0</v>
      </c>
      <c r="DS161" s="1">
        <v>0</v>
      </c>
      <c r="DT161" s="1">
        <v>0</v>
      </c>
      <c r="DU161" s="1">
        <v>0</v>
      </c>
      <c r="DV161" s="1">
        <v>0</v>
      </c>
      <c r="DW161" s="1">
        <v>0</v>
      </c>
      <c r="DX161" s="1">
        <v>0</v>
      </c>
      <c r="DY161" s="1">
        <v>0</v>
      </c>
      <c r="DZ161" s="1">
        <v>0</v>
      </c>
      <c r="EA161" s="1">
        <v>0</v>
      </c>
      <c r="EB161" s="1">
        <v>0</v>
      </c>
      <c r="EC161" s="1">
        <v>0</v>
      </c>
      <c r="ED161" s="1">
        <v>0</v>
      </c>
    </row>
    <row r="162" spans="1:134" x14ac:dyDescent="0.25">
      <c r="A162" t="s">
        <v>278</v>
      </c>
      <c r="B162" s="1">
        <v>141</v>
      </c>
      <c r="C162" s="1">
        <v>-30</v>
      </c>
      <c r="D162" s="1">
        <v>21</v>
      </c>
      <c r="E162" s="1">
        <v>14</v>
      </c>
      <c r="F162" s="1">
        <v>80</v>
      </c>
      <c r="G162" s="1">
        <v>179</v>
      </c>
      <c r="H162" s="1">
        <v>92</v>
      </c>
      <c r="I162" s="1">
        <v>-51</v>
      </c>
      <c r="J162" s="1">
        <v>-296</v>
      </c>
      <c r="K162" s="1">
        <v>-32</v>
      </c>
      <c r="L162" s="1">
        <v>-299</v>
      </c>
      <c r="M162" s="1">
        <v>0</v>
      </c>
      <c r="N162" t="s">
        <v>141</v>
      </c>
      <c r="O162" t="s">
        <v>140</v>
      </c>
      <c r="P162" t="s">
        <v>140</v>
      </c>
      <c r="Q162" t="s">
        <v>140</v>
      </c>
      <c r="R162" t="s">
        <v>140</v>
      </c>
      <c r="S162" t="s">
        <v>140</v>
      </c>
      <c r="T162" t="s">
        <v>140</v>
      </c>
      <c r="U162" t="s">
        <v>140</v>
      </c>
      <c r="V162" t="s">
        <v>140</v>
      </c>
      <c r="W162" t="s">
        <v>140</v>
      </c>
      <c r="X162" t="s">
        <v>140</v>
      </c>
      <c r="Y162" t="s">
        <v>140</v>
      </c>
      <c r="Z162" t="s">
        <v>140</v>
      </c>
      <c r="AA162" t="s">
        <v>140</v>
      </c>
      <c r="AB162" t="s">
        <v>140</v>
      </c>
      <c r="AC162" t="s">
        <v>140</v>
      </c>
      <c r="AD162" t="s">
        <v>140</v>
      </c>
      <c r="AE162" t="s">
        <v>140</v>
      </c>
      <c r="AF162" t="s">
        <v>140</v>
      </c>
      <c r="AG162" t="s">
        <v>140</v>
      </c>
      <c r="AH162" t="s">
        <v>140</v>
      </c>
      <c r="AI162" t="s">
        <v>140</v>
      </c>
      <c r="AJ162" t="s">
        <v>140</v>
      </c>
      <c r="AK162" t="s">
        <v>140</v>
      </c>
      <c r="AL162" t="s">
        <v>140</v>
      </c>
      <c r="AM162" t="s">
        <v>140</v>
      </c>
      <c r="AN162" t="s">
        <v>140</v>
      </c>
      <c r="AO162" t="s">
        <v>140</v>
      </c>
      <c r="AP162" t="s">
        <v>140</v>
      </c>
      <c r="AQ162" t="s">
        <v>140</v>
      </c>
      <c r="AR162" t="s">
        <v>140</v>
      </c>
      <c r="AS162" t="s">
        <v>140</v>
      </c>
      <c r="AT162" t="s">
        <v>140</v>
      </c>
      <c r="AU162" t="s">
        <v>140</v>
      </c>
      <c r="AV162" t="s">
        <v>140</v>
      </c>
      <c r="AW162" t="s">
        <v>140</v>
      </c>
      <c r="AX162" t="s">
        <v>140</v>
      </c>
      <c r="AY162" t="s">
        <v>140</v>
      </c>
      <c r="AZ162" t="s">
        <v>140</v>
      </c>
      <c r="BA162" t="s">
        <v>140</v>
      </c>
      <c r="BB162" t="s">
        <v>140</v>
      </c>
      <c r="BC162" t="s">
        <v>140</v>
      </c>
      <c r="BD162" t="s">
        <v>140</v>
      </c>
      <c r="BE162" t="s">
        <v>140</v>
      </c>
      <c r="BF162" t="s">
        <v>140</v>
      </c>
      <c r="BG162" t="s">
        <v>140</v>
      </c>
      <c r="BH162" t="s">
        <v>140</v>
      </c>
      <c r="BI162" t="s">
        <v>140</v>
      </c>
      <c r="BJ162" t="s">
        <v>140</v>
      </c>
      <c r="BK162" t="s">
        <v>140</v>
      </c>
      <c r="BL162" t="s">
        <v>140</v>
      </c>
      <c r="BM162" t="s">
        <v>140</v>
      </c>
      <c r="BN162" t="s">
        <v>140</v>
      </c>
      <c r="BO162" t="s">
        <v>140</v>
      </c>
      <c r="BP162" t="s">
        <v>140</v>
      </c>
      <c r="BQ162" t="s">
        <v>140</v>
      </c>
      <c r="BR162" t="s">
        <v>140</v>
      </c>
      <c r="BS162" t="s">
        <v>140</v>
      </c>
      <c r="BT162" t="s">
        <v>140</v>
      </c>
      <c r="BU162" t="s">
        <v>140</v>
      </c>
      <c r="BV162" t="s">
        <v>140</v>
      </c>
      <c r="BW162" t="s">
        <v>140</v>
      </c>
      <c r="BX162" t="s">
        <v>140</v>
      </c>
      <c r="BY162" t="s">
        <v>140</v>
      </c>
      <c r="BZ162" t="s">
        <v>140</v>
      </c>
      <c r="CA162" t="s">
        <v>140</v>
      </c>
      <c r="CB162" t="s">
        <v>140</v>
      </c>
      <c r="CC162" t="s">
        <v>140</v>
      </c>
      <c r="CD162" t="s">
        <v>140</v>
      </c>
      <c r="CE162" t="s">
        <v>140</v>
      </c>
      <c r="CF162" t="s">
        <v>140</v>
      </c>
      <c r="CG162" t="s">
        <v>140</v>
      </c>
      <c r="CH162" t="s">
        <v>140</v>
      </c>
      <c r="CI162" t="s">
        <v>140</v>
      </c>
      <c r="CJ162" t="s">
        <v>140</v>
      </c>
      <c r="CK162" t="s">
        <v>140</v>
      </c>
      <c r="CL162" t="s">
        <v>140</v>
      </c>
      <c r="CM162" t="s">
        <v>140</v>
      </c>
      <c r="CN162" t="s">
        <v>140</v>
      </c>
      <c r="CO162" t="s">
        <v>140</v>
      </c>
      <c r="CP162" t="s">
        <v>140</v>
      </c>
      <c r="CQ162" t="s">
        <v>140</v>
      </c>
      <c r="CR162" t="s">
        <v>140</v>
      </c>
      <c r="CS162" t="s">
        <v>140</v>
      </c>
      <c r="CT162" t="s">
        <v>140</v>
      </c>
      <c r="CU162" t="s">
        <v>140</v>
      </c>
      <c r="CV162" t="s">
        <v>140</v>
      </c>
      <c r="CW162" t="s">
        <v>140</v>
      </c>
      <c r="CX162" t="s">
        <v>140</v>
      </c>
      <c r="CY162" t="s">
        <v>140</v>
      </c>
      <c r="CZ162" t="s">
        <v>140</v>
      </c>
      <c r="DA162" t="s">
        <v>140</v>
      </c>
      <c r="DB162" t="s">
        <v>140</v>
      </c>
      <c r="DC162" s="1">
        <v>0</v>
      </c>
      <c r="DD162" s="1">
        <v>0</v>
      </c>
      <c r="DE162" s="1">
        <v>0</v>
      </c>
      <c r="DF162" s="1">
        <v>0</v>
      </c>
      <c r="DG162" s="1">
        <v>0</v>
      </c>
      <c r="DH162" s="1">
        <v>0</v>
      </c>
      <c r="DI162" s="1">
        <v>0</v>
      </c>
      <c r="DJ162" s="1">
        <v>0</v>
      </c>
      <c r="DK162" s="1">
        <v>0</v>
      </c>
      <c r="DL162" s="1">
        <v>0</v>
      </c>
      <c r="DM162" s="1">
        <v>0</v>
      </c>
      <c r="DN162" s="1">
        <v>0</v>
      </c>
      <c r="DO162" s="1">
        <v>0</v>
      </c>
      <c r="DP162" s="1">
        <v>0</v>
      </c>
      <c r="DQ162" s="1">
        <v>0</v>
      </c>
      <c r="DR162" s="1">
        <v>0</v>
      </c>
      <c r="DS162" s="1">
        <v>0</v>
      </c>
      <c r="DT162" s="1">
        <v>0</v>
      </c>
      <c r="DU162" s="1">
        <v>0</v>
      </c>
      <c r="DV162" s="1">
        <v>0</v>
      </c>
      <c r="DW162" s="1">
        <v>0</v>
      </c>
      <c r="DX162" s="1">
        <v>0</v>
      </c>
      <c r="DY162" s="1">
        <v>0</v>
      </c>
      <c r="DZ162" s="1">
        <v>0</v>
      </c>
      <c r="EA162" s="1">
        <v>0</v>
      </c>
      <c r="EB162" s="1">
        <v>0</v>
      </c>
      <c r="EC162" s="1">
        <v>0</v>
      </c>
      <c r="ED162" s="1">
        <v>0</v>
      </c>
    </row>
    <row r="163" spans="1:134" x14ac:dyDescent="0.25">
      <c r="A163" t="s">
        <v>279</v>
      </c>
      <c r="B163" s="1">
        <v>150</v>
      </c>
      <c r="C163" s="1">
        <v>102</v>
      </c>
      <c r="D163" s="1">
        <v>85</v>
      </c>
      <c r="E163" s="1">
        <v>96</v>
      </c>
      <c r="F163" s="1">
        <v>78</v>
      </c>
      <c r="G163" s="1">
        <v>188</v>
      </c>
      <c r="H163" s="1">
        <v>105</v>
      </c>
      <c r="I163" s="1">
        <v>-50</v>
      </c>
      <c r="J163" s="1">
        <v>-378</v>
      </c>
      <c r="K163" s="1">
        <v>-307</v>
      </c>
      <c r="L163" s="1">
        <v>-451</v>
      </c>
      <c r="M163" s="1">
        <v>0</v>
      </c>
      <c r="N163" t="s">
        <v>141</v>
      </c>
      <c r="O163" t="s">
        <v>140</v>
      </c>
      <c r="P163" t="s">
        <v>140</v>
      </c>
      <c r="Q163" t="s">
        <v>140</v>
      </c>
      <c r="R163" t="s">
        <v>140</v>
      </c>
      <c r="S163" t="s">
        <v>140</v>
      </c>
      <c r="T163" t="s">
        <v>140</v>
      </c>
      <c r="U163" t="s">
        <v>140</v>
      </c>
      <c r="V163" t="s">
        <v>140</v>
      </c>
      <c r="W163" t="s">
        <v>140</v>
      </c>
      <c r="X163" t="s">
        <v>140</v>
      </c>
      <c r="Y163" t="s">
        <v>140</v>
      </c>
      <c r="Z163" t="s">
        <v>140</v>
      </c>
      <c r="AA163" t="s">
        <v>140</v>
      </c>
      <c r="AB163" t="s">
        <v>140</v>
      </c>
      <c r="AC163" t="s">
        <v>140</v>
      </c>
      <c r="AD163" t="s">
        <v>140</v>
      </c>
      <c r="AE163" t="s">
        <v>140</v>
      </c>
      <c r="AF163" t="s">
        <v>140</v>
      </c>
      <c r="AG163" t="s">
        <v>140</v>
      </c>
      <c r="AH163" t="s">
        <v>140</v>
      </c>
      <c r="AI163" t="s">
        <v>140</v>
      </c>
      <c r="AJ163" t="s">
        <v>140</v>
      </c>
      <c r="AK163" t="s">
        <v>140</v>
      </c>
      <c r="AL163" t="s">
        <v>140</v>
      </c>
      <c r="AM163" t="s">
        <v>140</v>
      </c>
      <c r="AN163" t="s">
        <v>140</v>
      </c>
      <c r="AO163" t="s">
        <v>140</v>
      </c>
      <c r="AP163" t="s">
        <v>140</v>
      </c>
      <c r="AQ163" t="s">
        <v>140</v>
      </c>
      <c r="AR163" t="s">
        <v>140</v>
      </c>
      <c r="AS163" t="s">
        <v>140</v>
      </c>
      <c r="AT163" t="s">
        <v>140</v>
      </c>
      <c r="AU163" t="s">
        <v>140</v>
      </c>
      <c r="AV163" t="s">
        <v>140</v>
      </c>
      <c r="AW163" t="s">
        <v>140</v>
      </c>
      <c r="AX163" t="s">
        <v>140</v>
      </c>
      <c r="AY163" t="s">
        <v>140</v>
      </c>
      <c r="AZ163" t="s">
        <v>140</v>
      </c>
      <c r="BA163" t="s">
        <v>140</v>
      </c>
      <c r="BB163" t="s">
        <v>140</v>
      </c>
      <c r="BC163" t="s">
        <v>140</v>
      </c>
      <c r="BD163" t="s">
        <v>140</v>
      </c>
      <c r="BE163" t="s">
        <v>140</v>
      </c>
      <c r="BF163" t="s">
        <v>140</v>
      </c>
      <c r="BG163" t="s">
        <v>140</v>
      </c>
      <c r="BH163" t="s">
        <v>140</v>
      </c>
      <c r="BI163" t="s">
        <v>140</v>
      </c>
      <c r="BJ163" t="s">
        <v>140</v>
      </c>
      <c r="BK163" t="s">
        <v>140</v>
      </c>
      <c r="BL163" t="s">
        <v>140</v>
      </c>
      <c r="BM163" t="s">
        <v>140</v>
      </c>
      <c r="BN163" t="s">
        <v>140</v>
      </c>
      <c r="BO163" t="s">
        <v>140</v>
      </c>
      <c r="BP163" t="s">
        <v>140</v>
      </c>
      <c r="BQ163" t="s">
        <v>140</v>
      </c>
      <c r="BR163" t="s">
        <v>140</v>
      </c>
      <c r="BS163" t="s">
        <v>140</v>
      </c>
      <c r="BT163" t="s">
        <v>140</v>
      </c>
      <c r="BU163" t="s">
        <v>140</v>
      </c>
      <c r="BV163" t="s">
        <v>140</v>
      </c>
      <c r="BW163" t="s">
        <v>140</v>
      </c>
      <c r="BX163" t="s">
        <v>140</v>
      </c>
      <c r="BY163" t="s">
        <v>140</v>
      </c>
      <c r="BZ163" t="s">
        <v>140</v>
      </c>
      <c r="CA163" t="s">
        <v>140</v>
      </c>
      <c r="CB163" t="s">
        <v>140</v>
      </c>
      <c r="CC163" t="s">
        <v>140</v>
      </c>
      <c r="CD163" t="s">
        <v>140</v>
      </c>
      <c r="CE163" t="s">
        <v>140</v>
      </c>
      <c r="CF163" t="s">
        <v>140</v>
      </c>
      <c r="CG163" t="s">
        <v>140</v>
      </c>
      <c r="CH163" t="s">
        <v>140</v>
      </c>
      <c r="CI163" t="s">
        <v>140</v>
      </c>
      <c r="CJ163" t="s">
        <v>140</v>
      </c>
      <c r="CK163" t="s">
        <v>140</v>
      </c>
      <c r="CL163" t="s">
        <v>140</v>
      </c>
      <c r="CM163" t="s">
        <v>140</v>
      </c>
      <c r="CN163" t="s">
        <v>140</v>
      </c>
      <c r="CO163" t="s">
        <v>140</v>
      </c>
      <c r="CP163" t="s">
        <v>140</v>
      </c>
      <c r="CQ163" t="s">
        <v>140</v>
      </c>
      <c r="CR163" t="s">
        <v>140</v>
      </c>
      <c r="CS163" t="s">
        <v>140</v>
      </c>
      <c r="CT163" t="s">
        <v>140</v>
      </c>
      <c r="CU163" t="s">
        <v>140</v>
      </c>
      <c r="CV163" t="s">
        <v>140</v>
      </c>
      <c r="CW163" t="s">
        <v>140</v>
      </c>
      <c r="CX163" t="s">
        <v>140</v>
      </c>
      <c r="CY163" t="s">
        <v>140</v>
      </c>
      <c r="CZ163" t="s">
        <v>140</v>
      </c>
      <c r="DA163" t="s">
        <v>140</v>
      </c>
      <c r="DB163" t="s">
        <v>140</v>
      </c>
      <c r="DC163" s="1">
        <v>0</v>
      </c>
      <c r="DD163" s="1">
        <v>0</v>
      </c>
      <c r="DE163" s="1">
        <v>0</v>
      </c>
      <c r="DF163" s="1">
        <v>0</v>
      </c>
      <c r="DG163" s="1">
        <v>0</v>
      </c>
      <c r="DH163" s="1">
        <v>0</v>
      </c>
      <c r="DI163" s="1">
        <v>0</v>
      </c>
      <c r="DJ163" s="1">
        <v>0</v>
      </c>
      <c r="DK163" s="1">
        <v>0</v>
      </c>
      <c r="DL163" s="1">
        <v>0</v>
      </c>
      <c r="DM163" s="1">
        <v>0</v>
      </c>
      <c r="DN163" s="1">
        <v>0</v>
      </c>
      <c r="DO163" s="1">
        <v>0</v>
      </c>
      <c r="DP163" s="1">
        <v>0</v>
      </c>
      <c r="DQ163" s="1">
        <v>0</v>
      </c>
      <c r="DR163" s="1">
        <v>0</v>
      </c>
      <c r="DS163" s="1">
        <v>0</v>
      </c>
      <c r="DT163" s="1">
        <v>0</v>
      </c>
      <c r="DU163" s="1">
        <v>0</v>
      </c>
      <c r="DV163" s="1">
        <v>0</v>
      </c>
      <c r="DW163" s="1">
        <v>0</v>
      </c>
      <c r="DX163" s="1">
        <v>0</v>
      </c>
      <c r="DY163" s="1">
        <v>0</v>
      </c>
      <c r="DZ163" s="1">
        <v>0</v>
      </c>
      <c r="EA163" s="1">
        <v>0</v>
      </c>
      <c r="EB163" s="1">
        <v>0</v>
      </c>
      <c r="EC163" s="1">
        <v>0</v>
      </c>
      <c r="ED163" s="1">
        <v>0</v>
      </c>
    </row>
    <row r="164" spans="1:134" x14ac:dyDescent="0.25">
      <c r="A164" t="s">
        <v>280</v>
      </c>
      <c r="B164" s="1">
        <v>0</v>
      </c>
      <c r="C164" s="1">
        <v>0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  <c r="M164" s="1">
        <v>0</v>
      </c>
      <c r="N164" t="s">
        <v>141</v>
      </c>
      <c r="O164" t="s">
        <v>140</v>
      </c>
      <c r="P164" t="s">
        <v>140</v>
      </c>
      <c r="Q164" t="s">
        <v>140</v>
      </c>
      <c r="R164" t="s">
        <v>140</v>
      </c>
      <c r="S164" t="s">
        <v>140</v>
      </c>
      <c r="T164" t="s">
        <v>140</v>
      </c>
      <c r="U164" t="s">
        <v>140</v>
      </c>
      <c r="V164" t="s">
        <v>140</v>
      </c>
      <c r="W164" t="s">
        <v>140</v>
      </c>
      <c r="X164" t="s">
        <v>140</v>
      </c>
      <c r="Y164" t="s">
        <v>140</v>
      </c>
      <c r="Z164" t="s">
        <v>140</v>
      </c>
      <c r="AA164" t="s">
        <v>140</v>
      </c>
      <c r="AB164" t="s">
        <v>140</v>
      </c>
      <c r="AC164" t="s">
        <v>140</v>
      </c>
      <c r="AD164" t="s">
        <v>140</v>
      </c>
      <c r="AE164" t="s">
        <v>140</v>
      </c>
      <c r="AF164" t="s">
        <v>140</v>
      </c>
      <c r="AG164" t="s">
        <v>140</v>
      </c>
      <c r="AH164" t="s">
        <v>140</v>
      </c>
      <c r="AI164" t="s">
        <v>140</v>
      </c>
      <c r="AJ164" t="s">
        <v>140</v>
      </c>
      <c r="AK164" t="s">
        <v>140</v>
      </c>
      <c r="AL164" t="s">
        <v>140</v>
      </c>
      <c r="AM164" t="s">
        <v>140</v>
      </c>
      <c r="AN164" t="s">
        <v>140</v>
      </c>
      <c r="AO164" t="s">
        <v>140</v>
      </c>
      <c r="AP164" t="s">
        <v>140</v>
      </c>
      <c r="AQ164" t="s">
        <v>140</v>
      </c>
      <c r="AR164" t="s">
        <v>140</v>
      </c>
      <c r="AS164" t="s">
        <v>140</v>
      </c>
      <c r="AT164" t="s">
        <v>140</v>
      </c>
      <c r="AU164" t="s">
        <v>140</v>
      </c>
      <c r="AV164" t="s">
        <v>140</v>
      </c>
      <c r="AW164" t="s">
        <v>140</v>
      </c>
      <c r="AX164" t="s">
        <v>140</v>
      </c>
      <c r="AY164" t="s">
        <v>140</v>
      </c>
      <c r="AZ164" t="s">
        <v>140</v>
      </c>
      <c r="BA164" t="s">
        <v>140</v>
      </c>
      <c r="BB164" t="s">
        <v>140</v>
      </c>
      <c r="BC164" t="s">
        <v>140</v>
      </c>
      <c r="BD164" t="s">
        <v>140</v>
      </c>
      <c r="BE164" t="s">
        <v>140</v>
      </c>
      <c r="BF164" t="s">
        <v>140</v>
      </c>
      <c r="BG164" t="s">
        <v>140</v>
      </c>
      <c r="BH164" t="s">
        <v>140</v>
      </c>
      <c r="BI164" t="s">
        <v>140</v>
      </c>
      <c r="BJ164" t="s">
        <v>140</v>
      </c>
      <c r="BK164" t="s">
        <v>140</v>
      </c>
      <c r="BL164" t="s">
        <v>140</v>
      </c>
      <c r="BM164" t="s">
        <v>140</v>
      </c>
      <c r="BN164" t="s">
        <v>140</v>
      </c>
      <c r="BO164" t="s">
        <v>140</v>
      </c>
      <c r="BP164" t="s">
        <v>140</v>
      </c>
      <c r="BQ164" t="s">
        <v>140</v>
      </c>
      <c r="BR164" t="s">
        <v>140</v>
      </c>
      <c r="BS164" t="s">
        <v>140</v>
      </c>
      <c r="BT164" t="s">
        <v>140</v>
      </c>
      <c r="BU164" t="s">
        <v>140</v>
      </c>
      <c r="BV164" t="s">
        <v>140</v>
      </c>
      <c r="BW164" t="s">
        <v>140</v>
      </c>
      <c r="BX164" t="s">
        <v>140</v>
      </c>
      <c r="BY164" t="s">
        <v>140</v>
      </c>
      <c r="BZ164" t="s">
        <v>140</v>
      </c>
      <c r="CA164" t="s">
        <v>140</v>
      </c>
      <c r="CB164" t="s">
        <v>140</v>
      </c>
      <c r="CC164" t="s">
        <v>140</v>
      </c>
      <c r="CD164" t="s">
        <v>140</v>
      </c>
      <c r="CE164" t="s">
        <v>140</v>
      </c>
      <c r="CF164" t="s">
        <v>140</v>
      </c>
      <c r="CG164" t="s">
        <v>140</v>
      </c>
      <c r="CH164" t="s">
        <v>140</v>
      </c>
      <c r="CI164" t="s">
        <v>140</v>
      </c>
      <c r="CJ164" t="s">
        <v>140</v>
      </c>
      <c r="CK164" t="s">
        <v>140</v>
      </c>
      <c r="CL164" t="s">
        <v>140</v>
      </c>
      <c r="CM164" t="s">
        <v>140</v>
      </c>
      <c r="CN164" t="s">
        <v>140</v>
      </c>
      <c r="CO164" t="s">
        <v>140</v>
      </c>
      <c r="CP164" t="s">
        <v>140</v>
      </c>
      <c r="CQ164" t="s">
        <v>140</v>
      </c>
      <c r="CR164" t="s">
        <v>140</v>
      </c>
      <c r="CS164" t="s">
        <v>140</v>
      </c>
      <c r="CT164" t="s">
        <v>140</v>
      </c>
      <c r="CU164" t="s">
        <v>140</v>
      </c>
      <c r="CV164" t="s">
        <v>140</v>
      </c>
      <c r="CW164" t="s">
        <v>140</v>
      </c>
      <c r="CX164" t="s">
        <v>140</v>
      </c>
      <c r="CY164" t="s">
        <v>140</v>
      </c>
      <c r="CZ164" t="s">
        <v>140</v>
      </c>
      <c r="DA164" t="s">
        <v>140</v>
      </c>
      <c r="DB164" t="s">
        <v>140</v>
      </c>
      <c r="DC164" s="1">
        <v>0</v>
      </c>
      <c r="DD164" s="1">
        <v>0</v>
      </c>
      <c r="DE164" s="1">
        <v>0</v>
      </c>
      <c r="DF164" s="1">
        <v>0</v>
      </c>
      <c r="DG164" s="1">
        <v>0</v>
      </c>
      <c r="DH164" s="1">
        <v>0</v>
      </c>
      <c r="DI164" s="1">
        <v>0</v>
      </c>
      <c r="DJ164" s="1">
        <v>0</v>
      </c>
      <c r="DK164" s="1">
        <v>0</v>
      </c>
      <c r="DL164" s="1">
        <v>0</v>
      </c>
      <c r="DM164" s="1">
        <v>0</v>
      </c>
      <c r="DN164" s="1">
        <v>0</v>
      </c>
      <c r="DO164" s="1">
        <v>0</v>
      </c>
      <c r="DP164" s="1">
        <v>0</v>
      </c>
      <c r="DQ164" s="1">
        <v>0</v>
      </c>
      <c r="DR164" s="1">
        <v>0</v>
      </c>
      <c r="DS164" s="1">
        <v>0</v>
      </c>
      <c r="DT164" s="1">
        <v>0</v>
      </c>
      <c r="DU164" s="1">
        <v>0</v>
      </c>
      <c r="DV164" s="1">
        <v>0</v>
      </c>
      <c r="DW164" s="1">
        <v>0</v>
      </c>
      <c r="DX164" s="1">
        <v>0</v>
      </c>
      <c r="DY164" s="1">
        <v>0</v>
      </c>
      <c r="DZ164" s="1">
        <v>0</v>
      </c>
      <c r="EA164" s="1">
        <v>0</v>
      </c>
      <c r="EB164" s="1">
        <v>0</v>
      </c>
      <c r="EC164" s="1">
        <v>0</v>
      </c>
      <c r="ED164" s="1">
        <v>0</v>
      </c>
    </row>
    <row r="165" spans="1:134" x14ac:dyDescent="0.25">
      <c r="A165" t="s">
        <v>281</v>
      </c>
      <c r="B165" s="1">
        <v>0</v>
      </c>
      <c r="C165" s="1">
        <v>0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  <c r="M165" s="1">
        <v>0</v>
      </c>
      <c r="N165" t="s">
        <v>141</v>
      </c>
      <c r="O165" t="s">
        <v>140</v>
      </c>
      <c r="P165" t="s">
        <v>140</v>
      </c>
      <c r="Q165" t="s">
        <v>140</v>
      </c>
      <c r="R165" t="s">
        <v>140</v>
      </c>
      <c r="S165" t="s">
        <v>140</v>
      </c>
      <c r="T165" t="s">
        <v>140</v>
      </c>
      <c r="U165" t="s">
        <v>140</v>
      </c>
      <c r="V165" t="s">
        <v>140</v>
      </c>
      <c r="W165" t="s">
        <v>140</v>
      </c>
      <c r="X165" t="s">
        <v>140</v>
      </c>
      <c r="Y165" t="s">
        <v>140</v>
      </c>
      <c r="Z165" t="s">
        <v>140</v>
      </c>
      <c r="AA165" t="s">
        <v>140</v>
      </c>
      <c r="AB165" t="s">
        <v>140</v>
      </c>
      <c r="AC165" t="s">
        <v>140</v>
      </c>
      <c r="AD165" t="s">
        <v>140</v>
      </c>
      <c r="AE165" t="s">
        <v>140</v>
      </c>
      <c r="AF165" t="s">
        <v>140</v>
      </c>
      <c r="AG165" t="s">
        <v>140</v>
      </c>
      <c r="AH165" t="s">
        <v>140</v>
      </c>
      <c r="AI165" t="s">
        <v>140</v>
      </c>
      <c r="AJ165" t="s">
        <v>140</v>
      </c>
      <c r="AK165" t="s">
        <v>140</v>
      </c>
      <c r="AL165" t="s">
        <v>140</v>
      </c>
      <c r="AM165" t="s">
        <v>140</v>
      </c>
      <c r="AN165" t="s">
        <v>140</v>
      </c>
      <c r="AO165" t="s">
        <v>140</v>
      </c>
      <c r="AP165" t="s">
        <v>140</v>
      </c>
      <c r="AQ165" t="s">
        <v>140</v>
      </c>
      <c r="AR165" t="s">
        <v>140</v>
      </c>
      <c r="AS165" t="s">
        <v>140</v>
      </c>
      <c r="AT165" t="s">
        <v>140</v>
      </c>
      <c r="AU165" t="s">
        <v>140</v>
      </c>
      <c r="AV165" t="s">
        <v>140</v>
      </c>
      <c r="AW165" t="s">
        <v>140</v>
      </c>
      <c r="AX165" t="s">
        <v>140</v>
      </c>
      <c r="AY165" t="s">
        <v>140</v>
      </c>
      <c r="AZ165" t="s">
        <v>140</v>
      </c>
      <c r="BA165" t="s">
        <v>140</v>
      </c>
      <c r="BB165" t="s">
        <v>140</v>
      </c>
      <c r="BC165" t="s">
        <v>140</v>
      </c>
      <c r="BD165" t="s">
        <v>140</v>
      </c>
      <c r="BE165" t="s">
        <v>140</v>
      </c>
      <c r="BF165" t="s">
        <v>140</v>
      </c>
      <c r="BG165" t="s">
        <v>140</v>
      </c>
      <c r="BH165" t="s">
        <v>140</v>
      </c>
      <c r="BI165" t="s">
        <v>140</v>
      </c>
      <c r="BJ165" t="s">
        <v>140</v>
      </c>
      <c r="BK165" t="s">
        <v>140</v>
      </c>
      <c r="BL165" t="s">
        <v>140</v>
      </c>
      <c r="BM165" t="s">
        <v>140</v>
      </c>
      <c r="BN165" t="s">
        <v>140</v>
      </c>
      <c r="BO165" t="s">
        <v>140</v>
      </c>
      <c r="BP165" t="s">
        <v>140</v>
      </c>
      <c r="BQ165" t="s">
        <v>140</v>
      </c>
      <c r="BR165" t="s">
        <v>140</v>
      </c>
      <c r="BS165" t="s">
        <v>140</v>
      </c>
      <c r="BT165" t="s">
        <v>140</v>
      </c>
      <c r="BU165" t="s">
        <v>140</v>
      </c>
      <c r="BV165" t="s">
        <v>140</v>
      </c>
      <c r="BW165" t="s">
        <v>140</v>
      </c>
      <c r="BX165" t="s">
        <v>140</v>
      </c>
      <c r="BY165" t="s">
        <v>140</v>
      </c>
      <c r="BZ165" t="s">
        <v>140</v>
      </c>
      <c r="CA165" t="s">
        <v>140</v>
      </c>
      <c r="CB165" t="s">
        <v>140</v>
      </c>
      <c r="CC165" t="s">
        <v>140</v>
      </c>
      <c r="CD165" t="s">
        <v>140</v>
      </c>
      <c r="CE165" t="s">
        <v>140</v>
      </c>
      <c r="CF165" t="s">
        <v>140</v>
      </c>
      <c r="CG165" t="s">
        <v>140</v>
      </c>
      <c r="CH165" t="s">
        <v>140</v>
      </c>
      <c r="CI165" t="s">
        <v>140</v>
      </c>
      <c r="CJ165" t="s">
        <v>140</v>
      </c>
      <c r="CK165" t="s">
        <v>140</v>
      </c>
      <c r="CL165" t="s">
        <v>140</v>
      </c>
      <c r="CM165" t="s">
        <v>140</v>
      </c>
      <c r="CN165" t="s">
        <v>140</v>
      </c>
      <c r="CO165" t="s">
        <v>140</v>
      </c>
      <c r="CP165" t="s">
        <v>140</v>
      </c>
      <c r="CQ165" t="s">
        <v>140</v>
      </c>
      <c r="CR165" t="s">
        <v>140</v>
      </c>
      <c r="CS165" t="s">
        <v>140</v>
      </c>
      <c r="CT165" t="s">
        <v>140</v>
      </c>
      <c r="CU165" t="s">
        <v>140</v>
      </c>
      <c r="CV165" t="s">
        <v>140</v>
      </c>
      <c r="CW165" t="s">
        <v>140</v>
      </c>
      <c r="CX165" t="s">
        <v>140</v>
      </c>
      <c r="CY165" t="s">
        <v>140</v>
      </c>
      <c r="CZ165" t="s">
        <v>140</v>
      </c>
      <c r="DA165" t="s">
        <v>140</v>
      </c>
      <c r="DB165" t="s">
        <v>140</v>
      </c>
      <c r="DC165" s="1">
        <v>0</v>
      </c>
      <c r="DD165" s="1">
        <v>0</v>
      </c>
      <c r="DE165" s="1">
        <v>0</v>
      </c>
      <c r="DF165" s="1">
        <v>0</v>
      </c>
      <c r="DG165" s="1">
        <v>0</v>
      </c>
      <c r="DH165" s="1">
        <v>0</v>
      </c>
      <c r="DI165" s="1">
        <v>0</v>
      </c>
      <c r="DJ165" s="1">
        <v>0</v>
      </c>
      <c r="DK165" s="1">
        <v>0</v>
      </c>
      <c r="DL165" s="1">
        <v>0</v>
      </c>
      <c r="DM165" s="1">
        <v>0</v>
      </c>
      <c r="DN165" s="1">
        <v>0</v>
      </c>
      <c r="DO165" s="1">
        <v>0</v>
      </c>
      <c r="DP165" s="1">
        <v>0</v>
      </c>
      <c r="DQ165" s="1">
        <v>0</v>
      </c>
      <c r="DR165" s="1">
        <v>0</v>
      </c>
      <c r="DS165" s="1">
        <v>0</v>
      </c>
      <c r="DT165" s="1">
        <v>0</v>
      </c>
      <c r="DU165" s="1">
        <v>0</v>
      </c>
      <c r="DV165" s="1">
        <v>0</v>
      </c>
      <c r="DW165" s="1">
        <v>0</v>
      </c>
      <c r="DX165" s="1">
        <v>0</v>
      </c>
      <c r="DY165" s="1">
        <v>0</v>
      </c>
      <c r="DZ165" s="1">
        <v>0</v>
      </c>
      <c r="EA165" s="1">
        <v>0</v>
      </c>
      <c r="EB165" s="1">
        <v>0</v>
      </c>
      <c r="EC165" s="1">
        <v>0</v>
      </c>
      <c r="ED165" s="1">
        <v>0</v>
      </c>
    </row>
    <row r="166" spans="1:134" x14ac:dyDescent="0.25">
      <c r="A166" t="s">
        <v>282</v>
      </c>
      <c r="B166" s="1">
        <v>0</v>
      </c>
      <c r="C166" s="1">
        <v>0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  <c r="M166" s="1">
        <v>0</v>
      </c>
      <c r="N166" t="s">
        <v>141</v>
      </c>
      <c r="O166" t="s">
        <v>140</v>
      </c>
      <c r="P166" t="s">
        <v>140</v>
      </c>
      <c r="Q166" t="s">
        <v>140</v>
      </c>
      <c r="R166" t="s">
        <v>140</v>
      </c>
      <c r="S166" t="s">
        <v>140</v>
      </c>
      <c r="T166" t="s">
        <v>140</v>
      </c>
      <c r="U166" t="s">
        <v>140</v>
      </c>
      <c r="V166" t="s">
        <v>140</v>
      </c>
      <c r="W166" t="s">
        <v>140</v>
      </c>
      <c r="X166" t="s">
        <v>140</v>
      </c>
      <c r="Y166" t="s">
        <v>140</v>
      </c>
      <c r="Z166" t="s">
        <v>140</v>
      </c>
      <c r="AA166" t="s">
        <v>140</v>
      </c>
      <c r="AB166" t="s">
        <v>140</v>
      </c>
      <c r="AC166" t="s">
        <v>140</v>
      </c>
      <c r="AD166" t="s">
        <v>140</v>
      </c>
      <c r="AE166" t="s">
        <v>140</v>
      </c>
      <c r="AF166" t="s">
        <v>140</v>
      </c>
      <c r="AG166" t="s">
        <v>140</v>
      </c>
      <c r="AH166" t="s">
        <v>140</v>
      </c>
      <c r="AI166" t="s">
        <v>140</v>
      </c>
      <c r="AJ166" t="s">
        <v>140</v>
      </c>
      <c r="AK166" t="s">
        <v>140</v>
      </c>
      <c r="AL166" t="s">
        <v>140</v>
      </c>
      <c r="AM166" t="s">
        <v>140</v>
      </c>
      <c r="AN166" t="s">
        <v>140</v>
      </c>
      <c r="AO166" t="s">
        <v>140</v>
      </c>
      <c r="AP166" t="s">
        <v>140</v>
      </c>
      <c r="AQ166" t="s">
        <v>140</v>
      </c>
      <c r="AR166" t="s">
        <v>140</v>
      </c>
      <c r="AS166" t="s">
        <v>140</v>
      </c>
      <c r="AT166" t="s">
        <v>140</v>
      </c>
      <c r="AU166" t="s">
        <v>140</v>
      </c>
      <c r="AV166" t="s">
        <v>140</v>
      </c>
      <c r="AW166" t="s">
        <v>140</v>
      </c>
      <c r="AX166" t="s">
        <v>140</v>
      </c>
      <c r="AY166" t="s">
        <v>140</v>
      </c>
      <c r="AZ166" t="s">
        <v>140</v>
      </c>
      <c r="BA166" t="s">
        <v>140</v>
      </c>
      <c r="BB166" t="s">
        <v>140</v>
      </c>
      <c r="BC166" t="s">
        <v>140</v>
      </c>
      <c r="BD166" t="s">
        <v>140</v>
      </c>
      <c r="BE166" t="s">
        <v>140</v>
      </c>
      <c r="BF166" t="s">
        <v>140</v>
      </c>
      <c r="BG166" t="s">
        <v>140</v>
      </c>
      <c r="BH166" t="s">
        <v>140</v>
      </c>
      <c r="BI166" t="s">
        <v>140</v>
      </c>
      <c r="BJ166" t="s">
        <v>140</v>
      </c>
      <c r="BK166" t="s">
        <v>140</v>
      </c>
      <c r="BL166" t="s">
        <v>140</v>
      </c>
      <c r="BM166" t="s">
        <v>140</v>
      </c>
      <c r="BN166" t="s">
        <v>140</v>
      </c>
      <c r="BO166" t="s">
        <v>140</v>
      </c>
      <c r="BP166" t="s">
        <v>140</v>
      </c>
      <c r="BQ166" t="s">
        <v>140</v>
      </c>
      <c r="BR166" t="s">
        <v>140</v>
      </c>
      <c r="BS166" t="s">
        <v>140</v>
      </c>
      <c r="BT166" t="s">
        <v>140</v>
      </c>
      <c r="BU166" t="s">
        <v>140</v>
      </c>
      <c r="BV166" t="s">
        <v>140</v>
      </c>
      <c r="BW166" t="s">
        <v>140</v>
      </c>
      <c r="BX166" t="s">
        <v>140</v>
      </c>
      <c r="BY166" t="s">
        <v>140</v>
      </c>
      <c r="BZ166" t="s">
        <v>140</v>
      </c>
      <c r="CA166" t="s">
        <v>140</v>
      </c>
      <c r="CB166" t="s">
        <v>140</v>
      </c>
      <c r="CC166" t="s">
        <v>140</v>
      </c>
      <c r="CD166" t="s">
        <v>140</v>
      </c>
      <c r="CE166" t="s">
        <v>140</v>
      </c>
      <c r="CF166" t="s">
        <v>140</v>
      </c>
      <c r="CG166" t="s">
        <v>140</v>
      </c>
      <c r="CH166" t="s">
        <v>140</v>
      </c>
      <c r="CI166" t="s">
        <v>140</v>
      </c>
      <c r="CJ166" t="s">
        <v>140</v>
      </c>
      <c r="CK166" t="s">
        <v>140</v>
      </c>
      <c r="CL166" t="s">
        <v>140</v>
      </c>
      <c r="CM166" t="s">
        <v>140</v>
      </c>
      <c r="CN166" t="s">
        <v>140</v>
      </c>
      <c r="CO166" t="s">
        <v>140</v>
      </c>
      <c r="CP166" t="s">
        <v>140</v>
      </c>
      <c r="CQ166" t="s">
        <v>140</v>
      </c>
      <c r="CR166" t="s">
        <v>140</v>
      </c>
      <c r="CS166" t="s">
        <v>140</v>
      </c>
      <c r="CT166" t="s">
        <v>140</v>
      </c>
      <c r="CU166" t="s">
        <v>140</v>
      </c>
      <c r="CV166" t="s">
        <v>140</v>
      </c>
      <c r="CW166" t="s">
        <v>140</v>
      </c>
      <c r="CX166" t="s">
        <v>140</v>
      </c>
      <c r="CY166" t="s">
        <v>140</v>
      </c>
      <c r="CZ166" t="s">
        <v>140</v>
      </c>
      <c r="DA166" t="s">
        <v>140</v>
      </c>
      <c r="DB166" t="s">
        <v>140</v>
      </c>
      <c r="DC166" s="1">
        <v>0</v>
      </c>
      <c r="DD166" s="1">
        <v>0</v>
      </c>
      <c r="DE166" s="1">
        <v>0</v>
      </c>
      <c r="DF166" s="1">
        <v>0</v>
      </c>
      <c r="DG166" s="1">
        <v>0</v>
      </c>
      <c r="DH166" s="1">
        <v>0</v>
      </c>
      <c r="DI166" s="1">
        <v>0</v>
      </c>
      <c r="DJ166" s="1">
        <v>0</v>
      </c>
      <c r="DK166" s="1">
        <v>0</v>
      </c>
      <c r="DL166" s="1">
        <v>0</v>
      </c>
      <c r="DM166" s="1">
        <v>0</v>
      </c>
      <c r="DN166" s="1">
        <v>0</v>
      </c>
      <c r="DO166" s="1">
        <v>0</v>
      </c>
      <c r="DP166" s="1">
        <v>0</v>
      </c>
      <c r="DQ166" s="1">
        <v>0</v>
      </c>
      <c r="DR166" s="1">
        <v>0</v>
      </c>
      <c r="DS166" s="1">
        <v>0</v>
      </c>
      <c r="DT166" s="1">
        <v>0</v>
      </c>
      <c r="DU166" s="1">
        <v>0</v>
      </c>
      <c r="DV166" s="1">
        <v>0</v>
      </c>
      <c r="DW166" s="1">
        <v>0</v>
      </c>
      <c r="DX166" s="1">
        <v>0</v>
      </c>
      <c r="DY166" s="1">
        <v>0</v>
      </c>
      <c r="DZ166" s="1">
        <v>0</v>
      </c>
      <c r="EA166" s="1">
        <v>0</v>
      </c>
      <c r="EB166" s="1">
        <v>0</v>
      </c>
      <c r="EC166" s="1">
        <v>0</v>
      </c>
      <c r="ED166" s="1">
        <v>0</v>
      </c>
    </row>
    <row r="167" spans="1:134" x14ac:dyDescent="0.25">
      <c r="A167" t="s">
        <v>283</v>
      </c>
      <c r="B167" s="1">
        <v>0</v>
      </c>
      <c r="C167" s="1">
        <v>0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  <c r="M167" s="1">
        <v>0</v>
      </c>
      <c r="N167" t="s">
        <v>141</v>
      </c>
      <c r="O167" t="s">
        <v>140</v>
      </c>
      <c r="P167" t="s">
        <v>140</v>
      </c>
      <c r="Q167" t="s">
        <v>140</v>
      </c>
      <c r="R167" t="s">
        <v>140</v>
      </c>
      <c r="S167" t="s">
        <v>140</v>
      </c>
      <c r="T167" t="s">
        <v>140</v>
      </c>
      <c r="U167" t="s">
        <v>140</v>
      </c>
      <c r="V167" t="s">
        <v>140</v>
      </c>
      <c r="W167" t="s">
        <v>140</v>
      </c>
      <c r="X167" t="s">
        <v>140</v>
      </c>
      <c r="Y167" t="s">
        <v>140</v>
      </c>
      <c r="Z167" t="s">
        <v>140</v>
      </c>
      <c r="AA167" t="s">
        <v>140</v>
      </c>
      <c r="AB167" t="s">
        <v>140</v>
      </c>
      <c r="AC167" t="s">
        <v>140</v>
      </c>
      <c r="AD167" t="s">
        <v>140</v>
      </c>
      <c r="AE167" t="s">
        <v>140</v>
      </c>
      <c r="AF167" t="s">
        <v>140</v>
      </c>
      <c r="AG167" t="s">
        <v>140</v>
      </c>
      <c r="AH167" t="s">
        <v>140</v>
      </c>
      <c r="AI167" t="s">
        <v>140</v>
      </c>
      <c r="AJ167" t="s">
        <v>140</v>
      </c>
      <c r="AK167" t="s">
        <v>140</v>
      </c>
      <c r="AL167" t="s">
        <v>140</v>
      </c>
      <c r="AM167" t="s">
        <v>140</v>
      </c>
      <c r="AN167" t="s">
        <v>140</v>
      </c>
      <c r="AO167" t="s">
        <v>140</v>
      </c>
      <c r="AP167" t="s">
        <v>140</v>
      </c>
      <c r="AQ167" t="s">
        <v>140</v>
      </c>
      <c r="AR167" t="s">
        <v>140</v>
      </c>
      <c r="AS167" t="s">
        <v>140</v>
      </c>
      <c r="AT167" t="s">
        <v>140</v>
      </c>
      <c r="AU167" t="s">
        <v>140</v>
      </c>
      <c r="AV167" t="s">
        <v>140</v>
      </c>
      <c r="AW167" t="s">
        <v>140</v>
      </c>
      <c r="AX167" t="s">
        <v>140</v>
      </c>
      <c r="AY167" t="s">
        <v>140</v>
      </c>
      <c r="AZ167" t="s">
        <v>140</v>
      </c>
      <c r="BA167" t="s">
        <v>140</v>
      </c>
      <c r="BB167" t="s">
        <v>140</v>
      </c>
      <c r="BC167" t="s">
        <v>140</v>
      </c>
      <c r="BD167" t="s">
        <v>140</v>
      </c>
      <c r="BE167" t="s">
        <v>140</v>
      </c>
      <c r="BF167" t="s">
        <v>140</v>
      </c>
      <c r="BG167" t="s">
        <v>140</v>
      </c>
      <c r="BH167" t="s">
        <v>140</v>
      </c>
      <c r="BI167" t="s">
        <v>140</v>
      </c>
      <c r="BJ167" t="s">
        <v>140</v>
      </c>
      <c r="BK167" t="s">
        <v>140</v>
      </c>
      <c r="BL167" t="s">
        <v>140</v>
      </c>
      <c r="BM167" t="s">
        <v>140</v>
      </c>
      <c r="BN167" t="s">
        <v>140</v>
      </c>
      <c r="BO167" t="s">
        <v>140</v>
      </c>
      <c r="BP167" t="s">
        <v>140</v>
      </c>
      <c r="BQ167" t="s">
        <v>140</v>
      </c>
      <c r="BR167" t="s">
        <v>140</v>
      </c>
      <c r="BS167" t="s">
        <v>140</v>
      </c>
      <c r="BT167" t="s">
        <v>140</v>
      </c>
      <c r="BU167" t="s">
        <v>140</v>
      </c>
      <c r="BV167" t="s">
        <v>140</v>
      </c>
      <c r="BW167" t="s">
        <v>140</v>
      </c>
      <c r="BX167" t="s">
        <v>140</v>
      </c>
      <c r="BY167" t="s">
        <v>140</v>
      </c>
      <c r="BZ167" t="s">
        <v>140</v>
      </c>
      <c r="CA167" t="s">
        <v>140</v>
      </c>
      <c r="CB167" t="s">
        <v>140</v>
      </c>
      <c r="CC167" t="s">
        <v>140</v>
      </c>
      <c r="CD167" t="s">
        <v>140</v>
      </c>
      <c r="CE167" t="s">
        <v>140</v>
      </c>
      <c r="CF167" t="s">
        <v>140</v>
      </c>
      <c r="CG167" t="s">
        <v>140</v>
      </c>
      <c r="CH167" t="s">
        <v>140</v>
      </c>
      <c r="CI167" t="s">
        <v>140</v>
      </c>
      <c r="CJ167" t="s">
        <v>140</v>
      </c>
      <c r="CK167" t="s">
        <v>140</v>
      </c>
      <c r="CL167" t="s">
        <v>140</v>
      </c>
      <c r="CM167" t="s">
        <v>140</v>
      </c>
      <c r="CN167" t="s">
        <v>140</v>
      </c>
      <c r="CO167" t="s">
        <v>140</v>
      </c>
      <c r="CP167" t="s">
        <v>140</v>
      </c>
      <c r="CQ167" t="s">
        <v>140</v>
      </c>
      <c r="CR167" t="s">
        <v>140</v>
      </c>
      <c r="CS167" t="s">
        <v>140</v>
      </c>
      <c r="CT167" t="s">
        <v>140</v>
      </c>
      <c r="CU167" t="s">
        <v>140</v>
      </c>
      <c r="CV167" t="s">
        <v>140</v>
      </c>
      <c r="CW167" t="s">
        <v>140</v>
      </c>
      <c r="CX167" t="s">
        <v>140</v>
      </c>
      <c r="CY167" t="s">
        <v>140</v>
      </c>
      <c r="CZ167" t="s">
        <v>140</v>
      </c>
      <c r="DA167" t="s">
        <v>140</v>
      </c>
      <c r="DB167" t="s">
        <v>140</v>
      </c>
      <c r="DC167" s="1">
        <v>0</v>
      </c>
      <c r="DD167" s="1">
        <v>0</v>
      </c>
      <c r="DE167" s="1">
        <v>0</v>
      </c>
      <c r="DF167" s="1">
        <v>0</v>
      </c>
      <c r="DG167" s="1">
        <v>0</v>
      </c>
      <c r="DH167" s="1">
        <v>0</v>
      </c>
      <c r="DI167" s="1">
        <v>0</v>
      </c>
      <c r="DJ167" s="1">
        <v>0</v>
      </c>
      <c r="DK167" s="1">
        <v>0</v>
      </c>
      <c r="DL167" s="1">
        <v>0</v>
      </c>
      <c r="DM167" s="1">
        <v>0</v>
      </c>
      <c r="DN167" s="1">
        <v>0</v>
      </c>
      <c r="DO167" s="1">
        <v>0</v>
      </c>
      <c r="DP167" s="1">
        <v>0</v>
      </c>
      <c r="DQ167" s="1">
        <v>0</v>
      </c>
      <c r="DR167" s="1">
        <v>0</v>
      </c>
      <c r="DS167" s="1">
        <v>0</v>
      </c>
      <c r="DT167" s="1">
        <v>0</v>
      </c>
      <c r="DU167" s="1">
        <v>0</v>
      </c>
      <c r="DV167" s="1">
        <v>0</v>
      </c>
      <c r="DW167" s="1">
        <v>0</v>
      </c>
      <c r="DX167" s="1">
        <v>0</v>
      </c>
      <c r="DY167" s="1">
        <v>0</v>
      </c>
      <c r="DZ167" s="1">
        <v>0</v>
      </c>
      <c r="EA167" s="1">
        <v>0</v>
      </c>
      <c r="EB167" s="1">
        <v>0</v>
      </c>
      <c r="EC167" s="1">
        <v>0</v>
      </c>
      <c r="ED167" s="1">
        <v>0</v>
      </c>
    </row>
    <row r="168" spans="1:134" x14ac:dyDescent="0.25">
      <c r="A168" t="s">
        <v>284</v>
      </c>
      <c r="B168" s="1">
        <v>-12592</v>
      </c>
      <c r="C168" s="1">
        <v>-6555</v>
      </c>
      <c r="D168" s="1">
        <v>-17609</v>
      </c>
      <c r="E168" s="1">
        <v>-13517</v>
      </c>
      <c r="F168" s="1">
        <v>-23297</v>
      </c>
      <c r="G168" s="1">
        <v>-11830</v>
      </c>
      <c r="H168" s="1">
        <v>-13025</v>
      </c>
      <c r="I168" s="1">
        <v>-42884</v>
      </c>
      <c r="J168" s="1">
        <v>-15504</v>
      </c>
      <c r="K168" s="1">
        <v>23412</v>
      </c>
      <c r="L168" s="1">
        <v>5594</v>
      </c>
      <c r="M168" s="1">
        <v>6326</v>
      </c>
      <c r="N168" t="s">
        <v>141</v>
      </c>
      <c r="O168" t="s">
        <v>140</v>
      </c>
      <c r="P168" t="s">
        <v>140</v>
      </c>
      <c r="Q168" t="s">
        <v>140</v>
      </c>
      <c r="R168" t="s">
        <v>140</v>
      </c>
      <c r="S168" t="s">
        <v>140</v>
      </c>
      <c r="T168" t="s">
        <v>140</v>
      </c>
      <c r="U168" t="s">
        <v>140</v>
      </c>
      <c r="V168" t="s">
        <v>140</v>
      </c>
      <c r="W168" t="s">
        <v>140</v>
      </c>
      <c r="X168" t="s">
        <v>140</v>
      </c>
      <c r="Y168" t="s">
        <v>140</v>
      </c>
      <c r="Z168" t="s">
        <v>140</v>
      </c>
      <c r="AA168" t="s">
        <v>140</v>
      </c>
      <c r="AB168" t="s">
        <v>140</v>
      </c>
      <c r="AC168" t="s">
        <v>140</v>
      </c>
      <c r="AD168" t="s">
        <v>140</v>
      </c>
      <c r="AE168" t="s">
        <v>140</v>
      </c>
      <c r="AF168" t="s">
        <v>140</v>
      </c>
      <c r="AG168" t="s">
        <v>140</v>
      </c>
      <c r="AH168" t="s">
        <v>140</v>
      </c>
      <c r="AI168" t="s">
        <v>140</v>
      </c>
      <c r="AJ168" t="s">
        <v>140</v>
      </c>
      <c r="AK168" t="s">
        <v>140</v>
      </c>
      <c r="AL168" t="s">
        <v>140</v>
      </c>
      <c r="AM168" t="s">
        <v>140</v>
      </c>
      <c r="AN168" t="s">
        <v>140</v>
      </c>
      <c r="AO168" t="s">
        <v>140</v>
      </c>
      <c r="AP168" t="s">
        <v>140</v>
      </c>
      <c r="AQ168" t="s">
        <v>140</v>
      </c>
      <c r="AR168" t="s">
        <v>140</v>
      </c>
      <c r="AS168" t="s">
        <v>140</v>
      </c>
      <c r="AT168" t="s">
        <v>140</v>
      </c>
      <c r="AU168" t="s">
        <v>140</v>
      </c>
      <c r="AV168" t="s">
        <v>140</v>
      </c>
      <c r="AW168" t="s">
        <v>140</v>
      </c>
      <c r="AX168" t="s">
        <v>140</v>
      </c>
      <c r="AY168" t="s">
        <v>140</v>
      </c>
      <c r="AZ168" t="s">
        <v>140</v>
      </c>
      <c r="BA168" t="s">
        <v>140</v>
      </c>
      <c r="BB168" t="s">
        <v>140</v>
      </c>
      <c r="BC168" t="s">
        <v>140</v>
      </c>
      <c r="BD168" t="s">
        <v>140</v>
      </c>
      <c r="BE168" t="s">
        <v>140</v>
      </c>
      <c r="BF168" t="s">
        <v>140</v>
      </c>
      <c r="BG168" t="s">
        <v>140</v>
      </c>
      <c r="BH168" t="s">
        <v>140</v>
      </c>
      <c r="BI168" t="s">
        <v>140</v>
      </c>
      <c r="BJ168" t="s">
        <v>140</v>
      </c>
      <c r="BK168" t="s">
        <v>140</v>
      </c>
      <c r="BL168" t="s">
        <v>140</v>
      </c>
      <c r="BM168" t="s">
        <v>140</v>
      </c>
      <c r="BN168" t="s">
        <v>140</v>
      </c>
      <c r="BO168" t="s">
        <v>140</v>
      </c>
      <c r="BP168" t="s">
        <v>140</v>
      </c>
      <c r="BQ168" t="s">
        <v>140</v>
      </c>
      <c r="BR168" t="s">
        <v>140</v>
      </c>
      <c r="BS168" t="s">
        <v>140</v>
      </c>
      <c r="BT168" t="s">
        <v>140</v>
      </c>
      <c r="BU168" t="s">
        <v>140</v>
      </c>
      <c r="BV168" t="s">
        <v>140</v>
      </c>
      <c r="BW168" t="s">
        <v>140</v>
      </c>
      <c r="BX168" t="s">
        <v>140</v>
      </c>
      <c r="BY168" t="s">
        <v>140</v>
      </c>
      <c r="BZ168" t="s">
        <v>140</v>
      </c>
      <c r="CA168" t="s">
        <v>140</v>
      </c>
      <c r="CB168" t="s">
        <v>140</v>
      </c>
      <c r="CC168" t="s">
        <v>140</v>
      </c>
      <c r="CD168" t="s">
        <v>140</v>
      </c>
      <c r="CE168" t="s">
        <v>140</v>
      </c>
      <c r="CF168" t="s">
        <v>140</v>
      </c>
      <c r="CG168" t="s">
        <v>140</v>
      </c>
      <c r="CH168" t="s">
        <v>140</v>
      </c>
      <c r="CI168" t="s">
        <v>140</v>
      </c>
      <c r="CJ168" t="s">
        <v>140</v>
      </c>
      <c r="CK168" t="s">
        <v>140</v>
      </c>
      <c r="CL168" t="s">
        <v>140</v>
      </c>
      <c r="CM168" t="s">
        <v>140</v>
      </c>
      <c r="CN168" t="s">
        <v>140</v>
      </c>
      <c r="CO168" t="s">
        <v>140</v>
      </c>
      <c r="CP168" t="s">
        <v>140</v>
      </c>
      <c r="CQ168" t="s">
        <v>140</v>
      </c>
      <c r="CR168" t="s">
        <v>140</v>
      </c>
      <c r="CS168" t="s">
        <v>140</v>
      </c>
      <c r="CT168" t="s">
        <v>140</v>
      </c>
      <c r="CU168" t="s">
        <v>140</v>
      </c>
      <c r="CV168" t="s">
        <v>140</v>
      </c>
      <c r="CW168" t="s">
        <v>140</v>
      </c>
      <c r="CX168" t="s">
        <v>140</v>
      </c>
      <c r="CY168" t="s">
        <v>140</v>
      </c>
      <c r="CZ168" t="s">
        <v>140</v>
      </c>
      <c r="DA168" t="s">
        <v>140</v>
      </c>
      <c r="DB168" t="s">
        <v>140</v>
      </c>
      <c r="DC168" s="1">
        <v>0</v>
      </c>
      <c r="DD168" s="1">
        <v>0</v>
      </c>
      <c r="DE168" s="1">
        <v>0</v>
      </c>
      <c r="DF168" s="1">
        <v>0</v>
      </c>
      <c r="DG168" s="1">
        <v>-2924</v>
      </c>
      <c r="DH168" s="1">
        <v>-6060</v>
      </c>
      <c r="DI168" s="1">
        <v>-2811</v>
      </c>
      <c r="DJ168" s="1">
        <v>-9104</v>
      </c>
      <c r="DK168" s="1">
        <v>-2843</v>
      </c>
      <c r="DL168" s="1">
        <v>-2989</v>
      </c>
      <c r="DM168" s="1">
        <v>-6301</v>
      </c>
      <c r="DN168" s="1">
        <v>-10562</v>
      </c>
      <c r="DO168" s="1">
        <v>-4747</v>
      </c>
      <c r="DP168" s="1">
        <v>-7899</v>
      </c>
      <c r="DQ168" s="1">
        <v>-14490</v>
      </c>
      <c r="DR168" s="1">
        <v>-7887</v>
      </c>
      <c r="DS168" s="1">
        <v>-5201</v>
      </c>
      <c r="DT168" s="1">
        <v>-5466</v>
      </c>
      <c r="DU168" s="1">
        <v>-2907</v>
      </c>
      <c r="DV168" s="1">
        <v>-8929</v>
      </c>
      <c r="DW168" s="1">
        <v>-8741</v>
      </c>
      <c r="DX168" s="1">
        <v>-32753</v>
      </c>
      <c r="DY168" s="1">
        <v>-6503</v>
      </c>
      <c r="DZ168" s="1">
        <v>-7998</v>
      </c>
      <c r="EA168" s="1">
        <v>-3399</v>
      </c>
      <c r="EB168" s="1">
        <v>27291</v>
      </c>
      <c r="EC168" s="1">
        <v>7492</v>
      </c>
      <c r="ED168" s="1">
        <v>-1166</v>
      </c>
    </row>
    <row r="169" spans="1:134" x14ac:dyDescent="0.25">
      <c r="A169" t="s">
        <v>285</v>
      </c>
      <c r="B169" s="1">
        <v>3365</v>
      </c>
      <c r="C169" s="1">
        <v>3770</v>
      </c>
      <c r="D169" s="1">
        <v>4199</v>
      </c>
      <c r="E169" s="1">
        <v>4659</v>
      </c>
      <c r="F169" s="1">
        <v>4853</v>
      </c>
      <c r="G169" s="1">
        <v>5682</v>
      </c>
      <c r="H169" s="1">
        <v>6077</v>
      </c>
      <c r="I169" s="1">
        <v>6485</v>
      </c>
      <c r="J169" s="1">
        <v>5941</v>
      </c>
      <c r="K169" s="1">
        <v>6589</v>
      </c>
      <c r="L169" s="1">
        <v>7078</v>
      </c>
      <c r="M169" s="1">
        <v>7078</v>
      </c>
      <c r="N169" t="s">
        <v>141</v>
      </c>
      <c r="O169" t="s">
        <v>140</v>
      </c>
      <c r="P169" t="s">
        <v>140</v>
      </c>
      <c r="Q169" t="s">
        <v>140</v>
      </c>
      <c r="R169" t="s">
        <v>140</v>
      </c>
      <c r="S169" t="s">
        <v>140</v>
      </c>
      <c r="T169" t="s">
        <v>140</v>
      </c>
      <c r="U169" t="s">
        <v>140</v>
      </c>
      <c r="V169" t="s">
        <v>140</v>
      </c>
      <c r="W169" t="s">
        <v>140</v>
      </c>
      <c r="X169" t="s">
        <v>140</v>
      </c>
      <c r="Y169" t="s">
        <v>140</v>
      </c>
      <c r="Z169" t="s">
        <v>140</v>
      </c>
      <c r="AA169" t="s">
        <v>140</v>
      </c>
      <c r="AB169" t="s">
        <v>140</v>
      </c>
      <c r="AC169" t="s">
        <v>140</v>
      </c>
      <c r="AD169" t="s">
        <v>140</v>
      </c>
      <c r="AE169" t="s">
        <v>140</v>
      </c>
      <c r="AF169" t="s">
        <v>140</v>
      </c>
      <c r="AG169" t="s">
        <v>140</v>
      </c>
      <c r="AH169" t="s">
        <v>140</v>
      </c>
      <c r="AI169" t="s">
        <v>140</v>
      </c>
      <c r="AJ169" t="s">
        <v>140</v>
      </c>
      <c r="AK169" t="s">
        <v>140</v>
      </c>
      <c r="AL169" t="s">
        <v>140</v>
      </c>
      <c r="AM169" t="s">
        <v>140</v>
      </c>
      <c r="AN169" t="s">
        <v>140</v>
      </c>
      <c r="AO169" t="s">
        <v>140</v>
      </c>
      <c r="AP169" t="s">
        <v>140</v>
      </c>
      <c r="AQ169" t="s">
        <v>140</v>
      </c>
      <c r="AR169" t="s">
        <v>140</v>
      </c>
      <c r="AS169" t="s">
        <v>140</v>
      </c>
      <c r="AT169" t="s">
        <v>140</v>
      </c>
      <c r="AU169" t="s">
        <v>140</v>
      </c>
      <c r="AV169" t="s">
        <v>140</v>
      </c>
      <c r="AW169" t="s">
        <v>140</v>
      </c>
      <c r="AX169" t="s">
        <v>140</v>
      </c>
      <c r="AY169" t="s">
        <v>140</v>
      </c>
      <c r="AZ169" t="s">
        <v>140</v>
      </c>
      <c r="BA169" t="s">
        <v>140</v>
      </c>
      <c r="BB169" t="s">
        <v>140</v>
      </c>
      <c r="BC169" t="s">
        <v>140</v>
      </c>
      <c r="BD169" t="s">
        <v>140</v>
      </c>
      <c r="BE169" t="s">
        <v>140</v>
      </c>
      <c r="BF169" t="s">
        <v>140</v>
      </c>
      <c r="BG169" t="s">
        <v>140</v>
      </c>
      <c r="BH169" t="s">
        <v>140</v>
      </c>
      <c r="BI169" t="s">
        <v>140</v>
      </c>
      <c r="BJ169" t="s">
        <v>140</v>
      </c>
      <c r="BK169" t="s">
        <v>140</v>
      </c>
      <c r="BL169" t="s">
        <v>140</v>
      </c>
      <c r="BM169" t="s">
        <v>140</v>
      </c>
      <c r="BN169" t="s">
        <v>140</v>
      </c>
      <c r="BO169" t="s">
        <v>140</v>
      </c>
      <c r="BP169" t="s">
        <v>140</v>
      </c>
      <c r="BQ169" t="s">
        <v>140</v>
      </c>
      <c r="BR169" t="s">
        <v>140</v>
      </c>
      <c r="BS169" t="s">
        <v>140</v>
      </c>
      <c r="BT169" t="s">
        <v>140</v>
      </c>
      <c r="BU169" t="s">
        <v>140</v>
      </c>
      <c r="BV169" t="s">
        <v>140</v>
      </c>
      <c r="BW169" t="s">
        <v>140</v>
      </c>
      <c r="BX169" t="s">
        <v>140</v>
      </c>
      <c r="BY169" t="s">
        <v>140</v>
      </c>
      <c r="BZ169" t="s">
        <v>140</v>
      </c>
      <c r="CA169" t="s">
        <v>140</v>
      </c>
      <c r="CB169" t="s">
        <v>140</v>
      </c>
      <c r="CC169" t="s">
        <v>140</v>
      </c>
      <c r="CD169" t="s">
        <v>140</v>
      </c>
      <c r="CE169" t="s">
        <v>140</v>
      </c>
      <c r="CF169" t="s">
        <v>140</v>
      </c>
      <c r="CG169" t="s">
        <v>140</v>
      </c>
      <c r="CH169" t="s">
        <v>140</v>
      </c>
      <c r="CI169" t="s">
        <v>140</v>
      </c>
      <c r="CJ169" t="s">
        <v>140</v>
      </c>
      <c r="CK169" t="s">
        <v>140</v>
      </c>
      <c r="CL169" t="s">
        <v>140</v>
      </c>
      <c r="CM169" t="s">
        <v>140</v>
      </c>
      <c r="CN169" t="s">
        <v>140</v>
      </c>
      <c r="CO169" t="s">
        <v>140</v>
      </c>
      <c r="CP169" t="s">
        <v>140</v>
      </c>
      <c r="CQ169" t="s">
        <v>140</v>
      </c>
      <c r="CR169" t="s">
        <v>140</v>
      </c>
      <c r="CS169" t="s">
        <v>140</v>
      </c>
      <c r="CT169" t="s">
        <v>140</v>
      </c>
      <c r="CU169" t="s">
        <v>140</v>
      </c>
      <c r="CV169" t="s">
        <v>140</v>
      </c>
      <c r="CW169" t="s">
        <v>140</v>
      </c>
      <c r="CX169" t="s">
        <v>140</v>
      </c>
      <c r="CY169" t="s">
        <v>140</v>
      </c>
      <c r="CZ169" t="s">
        <v>140</v>
      </c>
      <c r="DA169" t="s">
        <v>140</v>
      </c>
      <c r="DB169" t="s">
        <v>140</v>
      </c>
      <c r="DC169" s="1">
        <v>0</v>
      </c>
      <c r="DD169" s="1">
        <v>0</v>
      </c>
      <c r="DE169" s="1">
        <v>0</v>
      </c>
      <c r="DF169" s="1">
        <v>0</v>
      </c>
      <c r="DG169" s="1">
        <v>1456</v>
      </c>
      <c r="DH169" s="1">
        <v>1542</v>
      </c>
      <c r="DI169" s="1">
        <v>1627</v>
      </c>
      <c r="DJ169" s="1">
        <v>1738</v>
      </c>
      <c r="DK169" s="1">
        <v>1849</v>
      </c>
      <c r="DL169" s="1">
        <v>1921</v>
      </c>
      <c r="DM169" s="1">
        <v>2115</v>
      </c>
      <c r="DN169" s="1">
        <v>2084</v>
      </c>
      <c r="DO169" s="1">
        <v>2328</v>
      </c>
      <c r="DP169" s="1">
        <v>2331</v>
      </c>
      <c r="DQ169" s="1">
        <v>2542</v>
      </c>
      <c r="DR169" s="1">
        <v>2311</v>
      </c>
      <c r="DS169" s="1">
        <v>2839</v>
      </c>
      <c r="DT169" s="1">
        <v>2843</v>
      </c>
      <c r="DU169" s="1">
        <v>3150</v>
      </c>
      <c r="DV169" s="1">
        <v>2927</v>
      </c>
      <c r="DW169" s="1">
        <v>3398</v>
      </c>
      <c r="DX169" s="1">
        <v>3087</v>
      </c>
      <c r="DY169" s="1">
        <v>2832</v>
      </c>
      <c r="DZ169" s="1">
        <v>3109</v>
      </c>
      <c r="EA169" s="1">
        <v>3318</v>
      </c>
      <c r="EB169" s="1">
        <v>3271</v>
      </c>
      <c r="EC169" s="1">
        <v>3167</v>
      </c>
      <c r="ED169" s="1">
        <v>3911</v>
      </c>
    </row>
    <row r="170" spans="1:134" x14ac:dyDescent="0.25">
      <c r="A170" t="s">
        <v>286</v>
      </c>
      <c r="B170" s="1">
        <v>15305</v>
      </c>
      <c r="C170" s="1">
        <v>2947</v>
      </c>
      <c r="D170" s="1">
        <v>3387</v>
      </c>
      <c r="E170" s="1">
        <v>3880</v>
      </c>
      <c r="F170" s="1">
        <v>4111</v>
      </c>
      <c r="G170" s="1">
        <v>4658</v>
      </c>
      <c r="H170" s="1">
        <v>4857</v>
      </c>
      <c r="I170" s="1">
        <v>4982</v>
      </c>
      <c r="J170" s="1">
        <v>5321</v>
      </c>
      <c r="K170" s="1">
        <v>6916</v>
      </c>
      <c r="L170" s="1">
        <v>6619</v>
      </c>
      <c r="M170" s="1">
        <v>752</v>
      </c>
      <c r="N170" t="s">
        <v>141</v>
      </c>
      <c r="O170" t="s">
        <v>140</v>
      </c>
      <c r="P170" t="s">
        <v>140</v>
      </c>
      <c r="Q170" t="s">
        <v>140</v>
      </c>
      <c r="R170" t="s">
        <v>140</v>
      </c>
      <c r="S170" t="s">
        <v>140</v>
      </c>
      <c r="T170" t="s">
        <v>140</v>
      </c>
      <c r="U170" t="s">
        <v>140</v>
      </c>
      <c r="V170" t="s">
        <v>140</v>
      </c>
      <c r="W170" t="s">
        <v>140</v>
      </c>
      <c r="X170" t="s">
        <v>140</v>
      </c>
      <c r="Y170" t="s">
        <v>140</v>
      </c>
      <c r="Z170" t="s">
        <v>140</v>
      </c>
      <c r="AA170" t="s">
        <v>140</v>
      </c>
      <c r="AB170" t="s">
        <v>140</v>
      </c>
      <c r="AC170" t="s">
        <v>140</v>
      </c>
      <c r="AD170" t="s">
        <v>140</v>
      </c>
      <c r="AE170" t="s">
        <v>140</v>
      </c>
      <c r="AF170" t="s">
        <v>140</v>
      </c>
      <c r="AG170" t="s">
        <v>140</v>
      </c>
      <c r="AH170" t="s">
        <v>140</v>
      </c>
      <c r="AI170" t="s">
        <v>140</v>
      </c>
      <c r="AJ170" t="s">
        <v>140</v>
      </c>
      <c r="AK170" t="s">
        <v>140</v>
      </c>
      <c r="AL170" t="s">
        <v>140</v>
      </c>
      <c r="AM170" t="s">
        <v>140</v>
      </c>
      <c r="AN170" t="s">
        <v>140</v>
      </c>
      <c r="AO170" t="s">
        <v>140</v>
      </c>
      <c r="AP170" t="s">
        <v>140</v>
      </c>
      <c r="AQ170" t="s">
        <v>140</v>
      </c>
      <c r="AR170" t="s">
        <v>140</v>
      </c>
      <c r="AS170" t="s">
        <v>140</v>
      </c>
      <c r="AT170" t="s">
        <v>140</v>
      </c>
      <c r="AU170" t="s">
        <v>140</v>
      </c>
      <c r="AV170" t="s">
        <v>140</v>
      </c>
      <c r="AW170" t="s">
        <v>140</v>
      </c>
      <c r="AX170" t="s">
        <v>140</v>
      </c>
      <c r="AY170" t="s">
        <v>140</v>
      </c>
      <c r="AZ170" t="s">
        <v>140</v>
      </c>
      <c r="BA170" t="s">
        <v>140</v>
      </c>
      <c r="BB170" t="s">
        <v>140</v>
      </c>
      <c r="BC170" t="s">
        <v>140</v>
      </c>
      <c r="BD170" t="s">
        <v>140</v>
      </c>
      <c r="BE170" t="s">
        <v>140</v>
      </c>
      <c r="BF170" t="s">
        <v>140</v>
      </c>
      <c r="BG170" t="s">
        <v>140</v>
      </c>
      <c r="BH170" t="s">
        <v>140</v>
      </c>
      <c r="BI170" t="s">
        <v>140</v>
      </c>
      <c r="BJ170" t="s">
        <v>140</v>
      </c>
      <c r="BK170" t="s">
        <v>140</v>
      </c>
      <c r="BL170" t="s">
        <v>140</v>
      </c>
      <c r="BM170" t="s">
        <v>140</v>
      </c>
      <c r="BN170" t="s">
        <v>140</v>
      </c>
      <c r="BO170" t="s">
        <v>140</v>
      </c>
      <c r="BP170" t="s">
        <v>140</v>
      </c>
      <c r="BQ170" t="s">
        <v>140</v>
      </c>
      <c r="BR170" t="s">
        <v>140</v>
      </c>
      <c r="BS170" t="s">
        <v>140</v>
      </c>
      <c r="BT170" t="s">
        <v>140</v>
      </c>
      <c r="BU170" t="s">
        <v>140</v>
      </c>
      <c r="BV170" t="s">
        <v>140</v>
      </c>
      <c r="BW170" t="s">
        <v>140</v>
      </c>
      <c r="BX170" t="s">
        <v>140</v>
      </c>
      <c r="BY170" t="s">
        <v>140</v>
      </c>
      <c r="BZ170" t="s">
        <v>140</v>
      </c>
      <c r="CA170" t="s">
        <v>140</v>
      </c>
      <c r="CB170" t="s">
        <v>140</v>
      </c>
      <c r="CC170" t="s">
        <v>140</v>
      </c>
      <c r="CD170" t="s">
        <v>140</v>
      </c>
      <c r="CE170" t="s">
        <v>140</v>
      </c>
      <c r="CF170" t="s">
        <v>140</v>
      </c>
      <c r="CG170" t="s">
        <v>140</v>
      </c>
      <c r="CH170" t="s">
        <v>140</v>
      </c>
      <c r="CI170" t="s">
        <v>140</v>
      </c>
      <c r="CJ170" t="s">
        <v>140</v>
      </c>
      <c r="CK170" t="s">
        <v>140</v>
      </c>
      <c r="CL170" t="s">
        <v>140</v>
      </c>
      <c r="CM170" t="s">
        <v>140</v>
      </c>
      <c r="CN170" t="s">
        <v>140</v>
      </c>
      <c r="CO170" t="s">
        <v>140</v>
      </c>
      <c r="CP170" t="s">
        <v>140</v>
      </c>
      <c r="CQ170" t="s">
        <v>140</v>
      </c>
      <c r="CR170" t="s">
        <v>140</v>
      </c>
      <c r="CS170" t="s">
        <v>140</v>
      </c>
      <c r="CT170" t="s">
        <v>140</v>
      </c>
      <c r="CU170" t="s">
        <v>140</v>
      </c>
      <c r="CV170" t="s">
        <v>140</v>
      </c>
      <c r="CW170" t="s">
        <v>140</v>
      </c>
      <c r="CX170" t="s">
        <v>140</v>
      </c>
      <c r="CY170" t="s">
        <v>140</v>
      </c>
      <c r="CZ170" t="s">
        <v>140</v>
      </c>
      <c r="DA170" t="s">
        <v>140</v>
      </c>
      <c r="DB170" t="s">
        <v>140</v>
      </c>
      <c r="DC170" s="1">
        <v>0</v>
      </c>
      <c r="DD170" s="1">
        <v>0</v>
      </c>
      <c r="DE170" s="1">
        <v>0</v>
      </c>
      <c r="DF170" s="1">
        <v>0</v>
      </c>
      <c r="DG170" s="1">
        <v>4380</v>
      </c>
      <c r="DH170" s="1">
        <v>7602</v>
      </c>
      <c r="DI170" s="1">
        <v>4437</v>
      </c>
      <c r="DJ170" s="1">
        <v>10842</v>
      </c>
      <c r="DK170" s="1">
        <v>4692</v>
      </c>
      <c r="DL170" s="1">
        <v>4910</v>
      </c>
      <c r="DM170" s="1">
        <v>8416</v>
      </c>
      <c r="DN170" s="1">
        <v>12646</v>
      </c>
      <c r="DO170" s="1">
        <v>7075</v>
      </c>
      <c r="DP170" s="1">
        <v>10230</v>
      </c>
      <c r="DQ170" s="1">
        <v>17032</v>
      </c>
      <c r="DR170" s="1">
        <v>10198</v>
      </c>
      <c r="DS170" s="1">
        <v>8040</v>
      </c>
      <c r="DT170" s="1">
        <v>8309</v>
      </c>
      <c r="DU170" s="1">
        <v>6057</v>
      </c>
      <c r="DV170" s="1">
        <v>11856</v>
      </c>
      <c r="DW170" s="1">
        <v>12139</v>
      </c>
      <c r="DX170" s="1">
        <v>35840</v>
      </c>
      <c r="DY170" s="1">
        <v>9335</v>
      </c>
      <c r="DZ170" s="1">
        <v>11107</v>
      </c>
      <c r="EA170" s="1">
        <v>6717</v>
      </c>
      <c r="EB170" s="1">
        <v>-24020</v>
      </c>
      <c r="EC170" s="1">
        <v>-4325</v>
      </c>
      <c r="ED170" s="1">
        <v>5077</v>
      </c>
    </row>
    <row r="171" spans="1:134" x14ac:dyDescent="0.25">
      <c r="A171" t="s">
        <v>287</v>
      </c>
      <c r="B171" s="1">
        <v>-16</v>
      </c>
      <c r="C171" s="1">
        <v>-27</v>
      </c>
      <c r="D171" s="1">
        <v>-25</v>
      </c>
      <c r="E171" s="1">
        <v>-18</v>
      </c>
      <c r="F171" s="1">
        <v>-25</v>
      </c>
      <c r="G171" s="1">
        <v>-18</v>
      </c>
      <c r="H171" s="1">
        <v>-39</v>
      </c>
      <c r="I171" s="1">
        <v>-39</v>
      </c>
      <c r="J171" s="1">
        <v>-49</v>
      </c>
      <c r="K171" s="1">
        <v>-583</v>
      </c>
      <c r="L171" s="1">
        <v>-37</v>
      </c>
      <c r="M171" s="1">
        <v>-37</v>
      </c>
      <c r="N171" t="s">
        <v>141</v>
      </c>
      <c r="O171" t="s">
        <v>140</v>
      </c>
      <c r="P171" t="s">
        <v>140</v>
      </c>
      <c r="Q171" t="s">
        <v>140</v>
      </c>
      <c r="R171" t="s">
        <v>140</v>
      </c>
      <c r="S171" t="s">
        <v>140</v>
      </c>
      <c r="T171" t="s">
        <v>140</v>
      </c>
      <c r="U171" t="s">
        <v>140</v>
      </c>
      <c r="V171" t="s">
        <v>140</v>
      </c>
      <c r="W171" t="s">
        <v>140</v>
      </c>
      <c r="X171" t="s">
        <v>140</v>
      </c>
      <c r="Y171" t="s">
        <v>140</v>
      </c>
      <c r="Z171" t="s">
        <v>140</v>
      </c>
      <c r="AA171" t="s">
        <v>140</v>
      </c>
      <c r="AB171" t="s">
        <v>140</v>
      </c>
      <c r="AC171" t="s">
        <v>140</v>
      </c>
      <c r="AD171" t="s">
        <v>140</v>
      </c>
      <c r="AE171" t="s">
        <v>140</v>
      </c>
      <c r="AF171" t="s">
        <v>140</v>
      </c>
      <c r="AG171" t="s">
        <v>140</v>
      </c>
      <c r="AH171" t="s">
        <v>140</v>
      </c>
      <c r="AI171" t="s">
        <v>140</v>
      </c>
      <c r="AJ171" t="s">
        <v>140</v>
      </c>
      <c r="AK171" t="s">
        <v>140</v>
      </c>
      <c r="AL171" t="s">
        <v>140</v>
      </c>
      <c r="AM171" t="s">
        <v>140</v>
      </c>
      <c r="AN171" t="s">
        <v>140</v>
      </c>
      <c r="AO171" t="s">
        <v>140</v>
      </c>
      <c r="AP171" t="s">
        <v>140</v>
      </c>
      <c r="AQ171" t="s">
        <v>140</v>
      </c>
      <c r="AR171" t="s">
        <v>140</v>
      </c>
      <c r="AS171" t="s">
        <v>140</v>
      </c>
      <c r="AT171" t="s">
        <v>140</v>
      </c>
      <c r="AU171" t="s">
        <v>140</v>
      </c>
      <c r="AV171" t="s">
        <v>140</v>
      </c>
      <c r="AW171" t="s">
        <v>140</v>
      </c>
      <c r="AX171" t="s">
        <v>140</v>
      </c>
      <c r="AY171" t="s">
        <v>140</v>
      </c>
      <c r="AZ171" t="s">
        <v>140</v>
      </c>
      <c r="BA171" t="s">
        <v>140</v>
      </c>
      <c r="BB171" t="s">
        <v>140</v>
      </c>
      <c r="BC171" t="s">
        <v>140</v>
      </c>
      <c r="BD171" t="s">
        <v>140</v>
      </c>
      <c r="BE171" t="s">
        <v>140</v>
      </c>
      <c r="BF171" t="s">
        <v>140</v>
      </c>
      <c r="BG171" t="s">
        <v>140</v>
      </c>
      <c r="BH171" t="s">
        <v>140</v>
      </c>
      <c r="BI171" t="s">
        <v>140</v>
      </c>
      <c r="BJ171" t="s">
        <v>140</v>
      </c>
      <c r="BK171" t="s">
        <v>140</v>
      </c>
      <c r="BL171" t="s">
        <v>140</v>
      </c>
      <c r="BM171" t="s">
        <v>140</v>
      </c>
      <c r="BN171" t="s">
        <v>140</v>
      </c>
      <c r="BO171" t="s">
        <v>140</v>
      </c>
      <c r="BP171" t="s">
        <v>140</v>
      </c>
      <c r="BQ171" t="s">
        <v>140</v>
      </c>
      <c r="BR171" t="s">
        <v>140</v>
      </c>
      <c r="BS171" t="s">
        <v>140</v>
      </c>
      <c r="BT171" t="s">
        <v>140</v>
      </c>
      <c r="BU171" t="s">
        <v>140</v>
      </c>
      <c r="BV171" t="s">
        <v>140</v>
      </c>
      <c r="BW171" t="s">
        <v>140</v>
      </c>
      <c r="BX171" t="s">
        <v>140</v>
      </c>
      <c r="BY171" t="s">
        <v>140</v>
      </c>
      <c r="BZ171" t="s">
        <v>140</v>
      </c>
      <c r="CA171" t="s">
        <v>140</v>
      </c>
      <c r="CB171" t="s">
        <v>140</v>
      </c>
      <c r="CC171" t="s">
        <v>140</v>
      </c>
      <c r="CD171" t="s">
        <v>140</v>
      </c>
      <c r="CE171" t="s">
        <v>140</v>
      </c>
      <c r="CF171" t="s">
        <v>140</v>
      </c>
      <c r="CG171" t="s">
        <v>140</v>
      </c>
      <c r="CH171" t="s">
        <v>140</v>
      </c>
      <c r="CI171" t="s">
        <v>140</v>
      </c>
      <c r="CJ171" t="s">
        <v>140</v>
      </c>
      <c r="CK171" t="s">
        <v>140</v>
      </c>
      <c r="CL171" t="s">
        <v>140</v>
      </c>
      <c r="CM171" t="s">
        <v>140</v>
      </c>
      <c r="CN171" t="s">
        <v>140</v>
      </c>
      <c r="CO171" t="s">
        <v>140</v>
      </c>
      <c r="CP171" t="s">
        <v>140</v>
      </c>
      <c r="CQ171" t="s">
        <v>140</v>
      </c>
      <c r="CR171" t="s">
        <v>140</v>
      </c>
      <c r="CS171" t="s">
        <v>140</v>
      </c>
      <c r="CT171" t="s">
        <v>140</v>
      </c>
      <c r="CU171" t="s">
        <v>140</v>
      </c>
      <c r="CV171" t="s">
        <v>140</v>
      </c>
      <c r="CW171" t="s">
        <v>140</v>
      </c>
      <c r="CX171" t="s">
        <v>140</v>
      </c>
      <c r="CY171" t="s">
        <v>140</v>
      </c>
      <c r="CZ171" t="s">
        <v>140</v>
      </c>
      <c r="DA171" t="s">
        <v>140</v>
      </c>
      <c r="DB171" t="s">
        <v>140</v>
      </c>
      <c r="DC171" s="1">
        <v>0</v>
      </c>
      <c r="DD171" s="1">
        <v>0</v>
      </c>
      <c r="DE171" s="1">
        <v>0</v>
      </c>
      <c r="DF171" s="1">
        <v>0</v>
      </c>
      <c r="DG171" s="1">
        <v>-374</v>
      </c>
      <c r="DH171" s="1">
        <v>-382</v>
      </c>
      <c r="DI171" s="1">
        <v>-300</v>
      </c>
      <c r="DJ171" s="1">
        <v>284</v>
      </c>
      <c r="DK171" s="1">
        <v>-10</v>
      </c>
      <c r="DL171" s="1">
        <v>-17</v>
      </c>
      <c r="DM171" s="1">
        <v>-12</v>
      </c>
      <c r="DN171" s="1">
        <v>-13</v>
      </c>
      <c r="DO171" s="1">
        <v>-8</v>
      </c>
      <c r="DP171" s="1">
        <v>-10</v>
      </c>
      <c r="DQ171" s="1">
        <v>-15</v>
      </c>
      <c r="DR171" s="1">
        <v>-10</v>
      </c>
      <c r="DS171" s="1">
        <v>-5</v>
      </c>
      <c r="DT171" s="1">
        <v>-13</v>
      </c>
      <c r="DU171" s="1">
        <v>-19</v>
      </c>
      <c r="DV171" s="1">
        <v>-20</v>
      </c>
      <c r="DW171" s="1">
        <v>-17</v>
      </c>
      <c r="DX171" s="1">
        <v>-22</v>
      </c>
      <c r="DY171" s="1">
        <v>-16</v>
      </c>
      <c r="DZ171" s="1">
        <v>-33</v>
      </c>
      <c r="EA171" s="1">
        <v>-193</v>
      </c>
      <c r="EB171" s="1">
        <v>-390</v>
      </c>
      <c r="EC171" s="1">
        <v>-20</v>
      </c>
      <c r="ED171" s="1">
        <v>-17</v>
      </c>
    </row>
    <row r="172" spans="1:134" x14ac:dyDescent="0.25">
      <c r="A172" t="s">
        <v>288</v>
      </c>
      <c r="B172" s="1">
        <v>1</v>
      </c>
      <c r="C172" s="1">
        <v>0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  <c r="M172" s="1">
        <v>0</v>
      </c>
      <c r="N172" t="s">
        <v>141</v>
      </c>
      <c r="O172" t="s">
        <v>140</v>
      </c>
      <c r="P172" t="s">
        <v>140</v>
      </c>
      <c r="Q172" t="s">
        <v>140</v>
      </c>
      <c r="R172" t="s">
        <v>140</v>
      </c>
      <c r="S172" t="s">
        <v>140</v>
      </c>
      <c r="T172" t="s">
        <v>140</v>
      </c>
      <c r="U172" t="s">
        <v>140</v>
      </c>
      <c r="V172" t="s">
        <v>140</v>
      </c>
      <c r="W172" t="s">
        <v>140</v>
      </c>
      <c r="X172" t="s">
        <v>140</v>
      </c>
      <c r="Y172" t="s">
        <v>140</v>
      </c>
      <c r="Z172" t="s">
        <v>140</v>
      </c>
      <c r="AA172" t="s">
        <v>140</v>
      </c>
      <c r="AB172" t="s">
        <v>140</v>
      </c>
      <c r="AC172" t="s">
        <v>140</v>
      </c>
      <c r="AD172" t="s">
        <v>140</v>
      </c>
      <c r="AE172" t="s">
        <v>140</v>
      </c>
      <c r="AF172" t="s">
        <v>140</v>
      </c>
      <c r="AG172" t="s">
        <v>140</v>
      </c>
      <c r="AH172" t="s">
        <v>140</v>
      </c>
      <c r="AI172" t="s">
        <v>140</v>
      </c>
      <c r="AJ172" t="s">
        <v>140</v>
      </c>
      <c r="AK172" t="s">
        <v>140</v>
      </c>
      <c r="AL172" t="s">
        <v>140</v>
      </c>
      <c r="AM172" t="s">
        <v>140</v>
      </c>
      <c r="AN172" t="s">
        <v>140</v>
      </c>
      <c r="AO172" t="s">
        <v>140</v>
      </c>
      <c r="AP172" t="s">
        <v>140</v>
      </c>
      <c r="AQ172" t="s">
        <v>140</v>
      </c>
      <c r="AR172" t="s">
        <v>140</v>
      </c>
      <c r="AS172" t="s">
        <v>140</v>
      </c>
      <c r="AT172" t="s">
        <v>140</v>
      </c>
      <c r="AU172" t="s">
        <v>140</v>
      </c>
      <c r="AV172" t="s">
        <v>140</v>
      </c>
      <c r="AW172" t="s">
        <v>140</v>
      </c>
      <c r="AX172" t="s">
        <v>140</v>
      </c>
      <c r="AY172" t="s">
        <v>140</v>
      </c>
      <c r="AZ172" t="s">
        <v>140</v>
      </c>
      <c r="BA172" t="s">
        <v>140</v>
      </c>
      <c r="BB172" t="s">
        <v>140</v>
      </c>
      <c r="BC172" t="s">
        <v>140</v>
      </c>
      <c r="BD172" t="s">
        <v>140</v>
      </c>
      <c r="BE172" t="s">
        <v>140</v>
      </c>
      <c r="BF172" t="s">
        <v>140</v>
      </c>
      <c r="BG172" t="s">
        <v>140</v>
      </c>
      <c r="BH172" t="s">
        <v>140</v>
      </c>
      <c r="BI172" t="s">
        <v>140</v>
      </c>
      <c r="BJ172" t="s">
        <v>140</v>
      </c>
      <c r="BK172" t="s">
        <v>140</v>
      </c>
      <c r="BL172" t="s">
        <v>140</v>
      </c>
      <c r="BM172" t="s">
        <v>140</v>
      </c>
      <c r="BN172" t="s">
        <v>140</v>
      </c>
      <c r="BO172" t="s">
        <v>140</v>
      </c>
      <c r="BP172" t="s">
        <v>140</v>
      </c>
      <c r="BQ172" t="s">
        <v>140</v>
      </c>
      <c r="BR172" t="s">
        <v>140</v>
      </c>
      <c r="BS172" t="s">
        <v>140</v>
      </c>
      <c r="BT172" t="s">
        <v>140</v>
      </c>
      <c r="BU172" t="s">
        <v>140</v>
      </c>
      <c r="BV172" t="s">
        <v>140</v>
      </c>
      <c r="BW172" t="s">
        <v>140</v>
      </c>
      <c r="BX172" t="s">
        <v>140</v>
      </c>
      <c r="BY172" t="s">
        <v>140</v>
      </c>
      <c r="BZ172" t="s">
        <v>140</v>
      </c>
      <c r="CA172" t="s">
        <v>140</v>
      </c>
      <c r="CB172" t="s">
        <v>140</v>
      </c>
      <c r="CC172" t="s">
        <v>140</v>
      </c>
      <c r="CD172" t="s">
        <v>140</v>
      </c>
      <c r="CE172" t="s">
        <v>140</v>
      </c>
      <c r="CF172" t="s">
        <v>140</v>
      </c>
      <c r="CG172" t="s">
        <v>140</v>
      </c>
      <c r="CH172" t="s">
        <v>140</v>
      </c>
      <c r="CI172" t="s">
        <v>140</v>
      </c>
      <c r="CJ172" t="s">
        <v>140</v>
      </c>
      <c r="CK172" t="s">
        <v>140</v>
      </c>
      <c r="CL172" t="s">
        <v>140</v>
      </c>
      <c r="CM172" t="s">
        <v>140</v>
      </c>
      <c r="CN172" t="s">
        <v>140</v>
      </c>
      <c r="CO172" t="s">
        <v>140</v>
      </c>
      <c r="CP172" t="s">
        <v>140</v>
      </c>
      <c r="CQ172" t="s">
        <v>140</v>
      </c>
      <c r="CR172" t="s">
        <v>140</v>
      </c>
      <c r="CS172" t="s">
        <v>140</v>
      </c>
      <c r="CT172" t="s">
        <v>140</v>
      </c>
      <c r="CU172" t="s">
        <v>140</v>
      </c>
      <c r="CV172" t="s">
        <v>140</v>
      </c>
      <c r="CW172" t="s">
        <v>140</v>
      </c>
      <c r="CX172" t="s">
        <v>140</v>
      </c>
      <c r="CY172" t="s">
        <v>140</v>
      </c>
      <c r="CZ172" t="s">
        <v>140</v>
      </c>
      <c r="DA172" t="s">
        <v>140</v>
      </c>
      <c r="DB172" t="s">
        <v>140</v>
      </c>
      <c r="DC172" s="1">
        <v>0</v>
      </c>
      <c r="DD172" s="1">
        <v>0</v>
      </c>
      <c r="DE172" s="1">
        <v>0</v>
      </c>
      <c r="DF172" s="1">
        <v>0</v>
      </c>
      <c r="DG172" s="1">
        <v>0</v>
      </c>
      <c r="DH172" s="1">
        <v>0</v>
      </c>
      <c r="DI172" s="1">
        <v>1</v>
      </c>
      <c r="DJ172" s="1">
        <v>0</v>
      </c>
      <c r="DK172" s="1">
        <v>0</v>
      </c>
      <c r="DL172" s="1">
        <v>0</v>
      </c>
      <c r="DM172" s="1">
        <v>0</v>
      </c>
      <c r="DN172" s="1">
        <v>0</v>
      </c>
      <c r="DO172" s="1">
        <v>0</v>
      </c>
      <c r="DP172" s="1">
        <v>0</v>
      </c>
      <c r="DQ172" s="1">
        <v>0</v>
      </c>
      <c r="DR172" s="1">
        <v>0</v>
      </c>
      <c r="DS172" s="1">
        <v>0</v>
      </c>
      <c r="DT172" s="1">
        <v>0</v>
      </c>
      <c r="DU172" s="1">
        <v>0</v>
      </c>
      <c r="DV172" s="1">
        <v>0</v>
      </c>
      <c r="DW172" s="1">
        <v>0</v>
      </c>
      <c r="DX172" s="1">
        <v>0</v>
      </c>
      <c r="DY172" s="1">
        <v>0</v>
      </c>
      <c r="DZ172" s="1">
        <v>0</v>
      </c>
      <c r="EA172" s="1">
        <v>0</v>
      </c>
      <c r="EB172" s="1">
        <v>0</v>
      </c>
      <c r="EC172" s="1">
        <v>0</v>
      </c>
      <c r="ED172" s="1">
        <v>0</v>
      </c>
    </row>
    <row r="173" spans="1:134" x14ac:dyDescent="0.25">
      <c r="A173" t="s">
        <v>289</v>
      </c>
      <c r="B173" s="1">
        <v>0</v>
      </c>
      <c r="C173" s="1">
        <v>-1748</v>
      </c>
      <c r="D173" s="1">
        <v>0</v>
      </c>
      <c r="E173" s="1">
        <v>0</v>
      </c>
      <c r="F173" s="1">
        <v>-1380</v>
      </c>
      <c r="G173" s="1">
        <v>-9819</v>
      </c>
      <c r="H173" s="1">
        <v>0</v>
      </c>
      <c r="I173" s="1">
        <v>-4496</v>
      </c>
      <c r="J173" s="1">
        <v>-7085</v>
      </c>
      <c r="K173" s="1">
        <v>-67</v>
      </c>
      <c r="L173" s="1">
        <v>-3055</v>
      </c>
      <c r="M173" s="1">
        <v>0</v>
      </c>
      <c r="N173" t="s">
        <v>141</v>
      </c>
      <c r="O173" t="s">
        <v>140</v>
      </c>
      <c r="P173" t="s">
        <v>140</v>
      </c>
      <c r="Q173" t="s">
        <v>140</v>
      </c>
      <c r="R173" t="s">
        <v>140</v>
      </c>
      <c r="S173" t="s">
        <v>140</v>
      </c>
      <c r="T173" t="s">
        <v>140</v>
      </c>
      <c r="U173" t="s">
        <v>140</v>
      </c>
      <c r="V173" t="s">
        <v>140</v>
      </c>
      <c r="W173" t="s">
        <v>140</v>
      </c>
      <c r="X173" t="s">
        <v>140</v>
      </c>
      <c r="Y173" t="s">
        <v>140</v>
      </c>
      <c r="Z173" t="s">
        <v>140</v>
      </c>
      <c r="AA173" t="s">
        <v>140</v>
      </c>
      <c r="AB173" t="s">
        <v>140</v>
      </c>
      <c r="AC173" t="s">
        <v>140</v>
      </c>
      <c r="AD173" t="s">
        <v>140</v>
      </c>
      <c r="AE173" t="s">
        <v>140</v>
      </c>
      <c r="AF173" t="s">
        <v>140</v>
      </c>
      <c r="AG173" t="s">
        <v>140</v>
      </c>
      <c r="AH173" t="s">
        <v>140</v>
      </c>
      <c r="AI173" t="s">
        <v>140</v>
      </c>
      <c r="AJ173" t="s">
        <v>140</v>
      </c>
      <c r="AK173" t="s">
        <v>140</v>
      </c>
      <c r="AL173" t="s">
        <v>140</v>
      </c>
      <c r="AM173" t="s">
        <v>140</v>
      </c>
      <c r="AN173" t="s">
        <v>140</v>
      </c>
      <c r="AO173" t="s">
        <v>140</v>
      </c>
      <c r="AP173" t="s">
        <v>140</v>
      </c>
      <c r="AQ173" t="s">
        <v>140</v>
      </c>
      <c r="AR173" t="s">
        <v>140</v>
      </c>
      <c r="AS173" t="s">
        <v>140</v>
      </c>
      <c r="AT173" t="s">
        <v>140</v>
      </c>
      <c r="AU173" t="s">
        <v>140</v>
      </c>
      <c r="AV173" t="s">
        <v>140</v>
      </c>
      <c r="AW173" t="s">
        <v>140</v>
      </c>
      <c r="AX173" t="s">
        <v>140</v>
      </c>
      <c r="AY173" t="s">
        <v>140</v>
      </c>
      <c r="AZ173" t="s">
        <v>140</v>
      </c>
      <c r="BA173" t="s">
        <v>140</v>
      </c>
      <c r="BB173" t="s">
        <v>140</v>
      </c>
      <c r="BC173" t="s">
        <v>140</v>
      </c>
      <c r="BD173" t="s">
        <v>140</v>
      </c>
      <c r="BE173" t="s">
        <v>140</v>
      </c>
      <c r="BF173" t="s">
        <v>140</v>
      </c>
      <c r="BG173" t="s">
        <v>140</v>
      </c>
      <c r="BH173" t="s">
        <v>140</v>
      </c>
      <c r="BI173" t="s">
        <v>140</v>
      </c>
      <c r="BJ173" t="s">
        <v>140</v>
      </c>
      <c r="BK173" t="s">
        <v>140</v>
      </c>
      <c r="BL173" t="s">
        <v>140</v>
      </c>
      <c r="BM173" t="s">
        <v>140</v>
      </c>
      <c r="BN173" t="s">
        <v>140</v>
      </c>
      <c r="BO173" t="s">
        <v>140</v>
      </c>
      <c r="BP173" t="s">
        <v>140</v>
      </c>
      <c r="BQ173" t="s">
        <v>140</v>
      </c>
      <c r="BR173" t="s">
        <v>140</v>
      </c>
      <c r="BS173" t="s">
        <v>140</v>
      </c>
      <c r="BT173" t="s">
        <v>140</v>
      </c>
      <c r="BU173" t="s">
        <v>140</v>
      </c>
      <c r="BV173" t="s">
        <v>140</v>
      </c>
      <c r="BW173" t="s">
        <v>140</v>
      </c>
      <c r="BX173" t="s">
        <v>140</v>
      </c>
      <c r="BY173" t="s">
        <v>140</v>
      </c>
      <c r="BZ173" t="s">
        <v>140</v>
      </c>
      <c r="CA173" t="s">
        <v>140</v>
      </c>
      <c r="CB173" t="s">
        <v>140</v>
      </c>
      <c r="CC173" t="s">
        <v>140</v>
      </c>
      <c r="CD173" t="s">
        <v>140</v>
      </c>
      <c r="CE173" t="s">
        <v>140</v>
      </c>
      <c r="CF173" t="s">
        <v>140</v>
      </c>
      <c r="CG173" t="s">
        <v>140</v>
      </c>
      <c r="CH173" t="s">
        <v>140</v>
      </c>
      <c r="CI173" t="s">
        <v>140</v>
      </c>
      <c r="CJ173" t="s">
        <v>140</v>
      </c>
      <c r="CK173" t="s">
        <v>140</v>
      </c>
      <c r="CL173" t="s">
        <v>140</v>
      </c>
      <c r="CM173" t="s">
        <v>140</v>
      </c>
      <c r="CN173" t="s">
        <v>140</v>
      </c>
      <c r="CO173" t="s">
        <v>140</v>
      </c>
      <c r="CP173" t="s">
        <v>140</v>
      </c>
      <c r="CQ173" t="s">
        <v>140</v>
      </c>
      <c r="CR173" t="s">
        <v>140</v>
      </c>
      <c r="CS173" t="s">
        <v>140</v>
      </c>
      <c r="CT173" t="s">
        <v>140</v>
      </c>
      <c r="CU173" t="s">
        <v>140</v>
      </c>
      <c r="CV173" t="s">
        <v>140</v>
      </c>
      <c r="CW173" t="s">
        <v>140</v>
      </c>
      <c r="CX173" t="s">
        <v>140</v>
      </c>
      <c r="CY173" t="s">
        <v>140</v>
      </c>
      <c r="CZ173" t="s">
        <v>140</v>
      </c>
      <c r="DA173" t="s">
        <v>140</v>
      </c>
      <c r="DB173" t="s">
        <v>140</v>
      </c>
      <c r="DC173" s="1">
        <v>0</v>
      </c>
      <c r="DD173" s="1">
        <v>0</v>
      </c>
      <c r="DE173" s="1">
        <v>0</v>
      </c>
      <c r="DF173" s="1">
        <v>0</v>
      </c>
      <c r="DG173" s="1">
        <v>0</v>
      </c>
      <c r="DH173" s="1">
        <v>0</v>
      </c>
      <c r="DI173" s="1">
        <v>0</v>
      </c>
      <c r="DJ173" s="1">
        <v>0</v>
      </c>
      <c r="DK173" s="1">
        <v>-1170</v>
      </c>
      <c r="DL173" s="1">
        <v>-578</v>
      </c>
      <c r="DM173" s="1">
        <v>0</v>
      </c>
      <c r="DN173" s="1">
        <v>0</v>
      </c>
      <c r="DO173" s="1">
        <v>0</v>
      </c>
      <c r="DP173" s="1">
        <v>0</v>
      </c>
      <c r="DQ173" s="1">
        <v>-1380</v>
      </c>
      <c r="DR173" s="1">
        <v>0</v>
      </c>
      <c r="DS173" s="1">
        <v>-9806</v>
      </c>
      <c r="DT173" s="1">
        <v>-13</v>
      </c>
      <c r="DU173" s="1">
        <v>0</v>
      </c>
      <c r="DV173" s="1">
        <v>0</v>
      </c>
      <c r="DW173" s="1">
        <v>-4496</v>
      </c>
      <c r="DX173" s="1">
        <v>0</v>
      </c>
      <c r="DY173" s="1">
        <v>0</v>
      </c>
      <c r="DZ173" s="1">
        <v>0</v>
      </c>
      <c r="EA173" s="1">
        <v>-38</v>
      </c>
      <c r="EB173" s="1">
        <v>-29</v>
      </c>
      <c r="EC173" s="1">
        <v>0</v>
      </c>
      <c r="ED173" s="1">
        <v>0</v>
      </c>
    </row>
    <row r="174" spans="1:134" x14ac:dyDescent="0.25">
      <c r="A174" t="s">
        <v>290</v>
      </c>
      <c r="B174" s="1">
        <v>0</v>
      </c>
      <c r="C174" s="1">
        <v>0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  <c r="M174" s="1">
        <v>0</v>
      </c>
      <c r="N174" t="s">
        <v>141</v>
      </c>
      <c r="O174" t="s">
        <v>140</v>
      </c>
      <c r="P174" t="s">
        <v>140</v>
      </c>
      <c r="Q174" t="s">
        <v>140</v>
      </c>
      <c r="R174" t="s">
        <v>140</v>
      </c>
      <c r="S174" t="s">
        <v>140</v>
      </c>
      <c r="T174" t="s">
        <v>140</v>
      </c>
      <c r="U174" t="s">
        <v>140</v>
      </c>
      <c r="V174" t="s">
        <v>140</v>
      </c>
      <c r="W174" t="s">
        <v>140</v>
      </c>
      <c r="X174" t="s">
        <v>140</v>
      </c>
      <c r="Y174" t="s">
        <v>140</v>
      </c>
      <c r="Z174" t="s">
        <v>140</v>
      </c>
      <c r="AA174" t="s">
        <v>140</v>
      </c>
      <c r="AB174" t="s">
        <v>140</v>
      </c>
      <c r="AC174" t="s">
        <v>140</v>
      </c>
      <c r="AD174" t="s">
        <v>140</v>
      </c>
      <c r="AE174" t="s">
        <v>140</v>
      </c>
      <c r="AF174" t="s">
        <v>140</v>
      </c>
      <c r="AG174" t="s">
        <v>140</v>
      </c>
      <c r="AH174" t="s">
        <v>140</v>
      </c>
      <c r="AI174" t="s">
        <v>140</v>
      </c>
      <c r="AJ174" t="s">
        <v>140</v>
      </c>
      <c r="AK174" t="s">
        <v>140</v>
      </c>
      <c r="AL174" t="s">
        <v>140</v>
      </c>
      <c r="AM174" t="s">
        <v>140</v>
      </c>
      <c r="AN174" t="s">
        <v>140</v>
      </c>
      <c r="AO174" t="s">
        <v>140</v>
      </c>
      <c r="AP174" t="s">
        <v>140</v>
      </c>
      <c r="AQ174" t="s">
        <v>140</v>
      </c>
      <c r="AR174" t="s">
        <v>140</v>
      </c>
      <c r="AS174" t="s">
        <v>140</v>
      </c>
      <c r="AT174" t="s">
        <v>140</v>
      </c>
      <c r="AU174" t="s">
        <v>140</v>
      </c>
      <c r="AV174" t="s">
        <v>140</v>
      </c>
      <c r="AW174" t="s">
        <v>140</v>
      </c>
      <c r="AX174" t="s">
        <v>140</v>
      </c>
      <c r="AY174" t="s">
        <v>140</v>
      </c>
      <c r="AZ174" t="s">
        <v>140</v>
      </c>
      <c r="BA174" t="s">
        <v>140</v>
      </c>
      <c r="BB174" t="s">
        <v>140</v>
      </c>
      <c r="BC174" t="s">
        <v>140</v>
      </c>
      <c r="BD174" t="s">
        <v>140</v>
      </c>
      <c r="BE174" t="s">
        <v>140</v>
      </c>
      <c r="BF174" t="s">
        <v>140</v>
      </c>
      <c r="BG174" t="s">
        <v>140</v>
      </c>
      <c r="BH174" t="s">
        <v>140</v>
      </c>
      <c r="BI174" t="s">
        <v>140</v>
      </c>
      <c r="BJ174" t="s">
        <v>140</v>
      </c>
      <c r="BK174" t="s">
        <v>140</v>
      </c>
      <c r="BL174" t="s">
        <v>140</v>
      </c>
      <c r="BM174" t="s">
        <v>140</v>
      </c>
      <c r="BN174" t="s">
        <v>140</v>
      </c>
      <c r="BO174" t="s">
        <v>140</v>
      </c>
      <c r="BP174" t="s">
        <v>140</v>
      </c>
      <c r="BQ174" t="s">
        <v>140</v>
      </c>
      <c r="BR174" t="s">
        <v>140</v>
      </c>
      <c r="BS174" t="s">
        <v>140</v>
      </c>
      <c r="BT174" t="s">
        <v>140</v>
      </c>
      <c r="BU174" t="s">
        <v>140</v>
      </c>
      <c r="BV174" t="s">
        <v>140</v>
      </c>
      <c r="BW174" t="s">
        <v>140</v>
      </c>
      <c r="BX174" t="s">
        <v>140</v>
      </c>
      <c r="BY174" t="s">
        <v>140</v>
      </c>
      <c r="BZ174" t="s">
        <v>140</v>
      </c>
      <c r="CA174" t="s">
        <v>140</v>
      </c>
      <c r="CB174" t="s">
        <v>140</v>
      </c>
      <c r="CC174" t="s">
        <v>140</v>
      </c>
      <c r="CD174" t="s">
        <v>140</v>
      </c>
      <c r="CE174" t="s">
        <v>140</v>
      </c>
      <c r="CF174" t="s">
        <v>140</v>
      </c>
      <c r="CG174" t="s">
        <v>140</v>
      </c>
      <c r="CH174" t="s">
        <v>140</v>
      </c>
      <c r="CI174" t="s">
        <v>140</v>
      </c>
      <c r="CJ174" t="s">
        <v>140</v>
      </c>
      <c r="CK174" t="s">
        <v>140</v>
      </c>
      <c r="CL174" t="s">
        <v>140</v>
      </c>
      <c r="CM174" t="s">
        <v>140</v>
      </c>
      <c r="CN174" t="s">
        <v>140</v>
      </c>
      <c r="CO174" t="s">
        <v>140</v>
      </c>
      <c r="CP174" t="s">
        <v>140</v>
      </c>
      <c r="CQ174" t="s">
        <v>140</v>
      </c>
      <c r="CR174" t="s">
        <v>140</v>
      </c>
      <c r="CS174" t="s">
        <v>140</v>
      </c>
      <c r="CT174" t="s">
        <v>140</v>
      </c>
      <c r="CU174" t="s">
        <v>140</v>
      </c>
      <c r="CV174" t="s">
        <v>140</v>
      </c>
      <c r="CW174" t="s">
        <v>140</v>
      </c>
      <c r="CX174" t="s">
        <v>140</v>
      </c>
      <c r="CY174" t="s">
        <v>140</v>
      </c>
      <c r="CZ174" t="s">
        <v>140</v>
      </c>
      <c r="DA174" t="s">
        <v>140</v>
      </c>
      <c r="DB174" t="s">
        <v>140</v>
      </c>
      <c r="DC174" s="1">
        <v>0</v>
      </c>
      <c r="DD174" s="1">
        <v>0</v>
      </c>
      <c r="DE174" s="1">
        <v>0</v>
      </c>
      <c r="DF174" s="1">
        <v>0</v>
      </c>
      <c r="DG174" s="1">
        <v>0</v>
      </c>
      <c r="DH174" s="1">
        <v>0</v>
      </c>
      <c r="DI174" s="1">
        <v>0</v>
      </c>
      <c r="DJ174" s="1">
        <v>0</v>
      </c>
      <c r="DK174" s="1">
        <v>0</v>
      </c>
      <c r="DL174" s="1">
        <v>0</v>
      </c>
      <c r="DM174" s="1">
        <v>0</v>
      </c>
      <c r="DN174" s="1">
        <v>0</v>
      </c>
      <c r="DO174" s="1">
        <v>0</v>
      </c>
      <c r="DP174" s="1">
        <v>0</v>
      </c>
      <c r="DQ174" s="1">
        <v>0</v>
      </c>
      <c r="DR174" s="1">
        <v>0</v>
      </c>
      <c r="DS174" s="1">
        <v>0</v>
      </c>
      <c r="DT174" s="1">
        <v>0</v>
      </c>
      <c r="DU174" s="1">
        <v>0</v>
      </c>
      <c r="DV174" s="1">
        <v>0</v>
      </c>
      <c r="DW174" s="1">
        <v>0</v>
      </c>
      <c r="DX174" s="1">
        <v>0</v>
      </c>
      <c r="DY174" s="1">
        <v>0</v>
      </c>
      <c r="DZ174" s="1">
        <v>0</v>
      </c>
      <c r="EA174" s="1">
        <v>0</v>
      </c>
      <c r="EB174" s="1">
        <v>0</v>
      </c>
      <c r="EC174" s="1">
        <v>0</v>
      </c>
      <c r="ED174" s="1">
        <v>0</v>
      </c>
    </row>
    <row r="175" spans="1:134" x14ac:dyDescent="0.25">
      <c r="A175" t="s">
        <v>291</v>
      </c>
      <c r="B175" s="1">
        <v>0</v>
      </c>
      <c r="C175" s="1">
        <v>0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-2777</v>
      </c>
      <c r="L175" s="1">
        <v>0</v>
      </c>
      <c r="M175" s="1">
        <v>0</v>
      </c>
      <c r="N175" t="s">
        <v>141</v>
      </c>
      <c r="O175" t="s">
        <v>140</v>
      </c>
      <c r="P175" t="s">
        <v>140</v>
      </c>
      <c r="Q175" t="s">
        <v>140</v>
      </c>
      <c r="R175" t="s">
        <v>140</v>
      </c>
      <c r="S175" t="s">
        <v>140</v>
      </c>
      <c r="T175" t="s">
        <v>140</v>
      </c>
      <c r="U175" t="s">
        <v>140</v>
      </c>
      <c r="V175" t="s">
        <v>140</v>
      </c>
      <c r="W175" t="s">
        <v>140</v>
      </c>
      <c r="X175" t="s">
        <v>140</v>
      </c>
      <c r="Y175" t="s">
        <v>140</v>
      </c>
      <c r="Z175" t="s">
        <v>140</v>
      </c>
      <c r="AA175" t="s">
        <v>140</v>
      </c>
      <c r="AB175" t="s">
        <v>140</v>
      </c>
      <c r="AC175" t="s">
        <v>140</v>
      </c>
      <c r="AD175" t="s">
        <v>140</v>
      </c>
      <c r="AE175" t="s">
        <v>140</v>
      </c>
      <c r="AF175" t="s">
        <v>140</v>
      </c>
      <c r="AG175" t="s">
        <v>140</v>
      </c>
      <c r="AH175" t="s">
        <v>140</v>
      </c>
      <c r="AI175" t="s">
        <v>140</v>
      </c>
      <c r="AJ175" t="s">
        <v>140</v>
      </c>
      <c r="AK175" t="s">
        <v>140</v>
      </c>
      <c r="AL175" t="s">
        <v>140</v>
      </c>
      <c r="AM175" t="s">
        <v>140</v>
      </c>
      <c r="AN175" t="s">
        <v>140</v>
      </c>
      <c r="AO175" t="s">
        <v>140</v>
      </c>
      <c r="AP175" t="s">
        <v>140</v>
      </c>
      <c r="AQ175" t="s">
        <v>140</v>
      </c>
      <c r="AR175" t="s">
        <v>140</v>
      </c>
      <c r="AS175" t="s">
        <v>140</v>
      </c>
      <c r="AT175" t="s">
        <v>140</v>
      </c>
      <c r="AU175" t="s">
        <v>140</v>
      </c>
      <c r="AV175" t="s">
        <v>140</v>
      </c>
      <c r="AW175" t="s">
        <v>140</v>
      </c>
      <c r="AX175" t="s">
        <v>140</v>
      </c>
      <c r="AY175" t="s">
        <v>140</v>
      </c>
      <c r="AZ175" t="s">
        <v>140</v>
      </c>
      <c r="BA175" t="s">
        <v>140</v>
      </c>
      <c r="BB175" t="s">
        <v>140</v>
      </c>
      <c r="BC175" t="s">
        <v>140</v>
      </c>
      <c r="BD175" t="s">
        <v>140</v>
      </c>
      <c r="BE175" t="s">
        <v>140</v>
      </c>
      <c r="BF175" t="s">
        <v>140</v>
      </c>
      <c r="BG175" t="s">
        <v>140</v>
      </c>
      <c r="BH175" t="s">
        <v>140</v>
      </c>
      <c r="BI175" t="s">
        <v>140</v>
      </c>
      <c r="BJ175" t="s">
        <v>140</v>
      </c>
      <c r="BK175" t="s">
        <v>140</v>
      </c>
      <c r="BL175" t="s">
        <v>140</v>
      </c>
      <c r="BM175" t="s">
        <v>140</v>
      </c>
      <c r="BN175" t="s">
        <v>140</v>
      </c>
      <c r="BO175" t="s">
        <v>140</v>
      </c>
      <c r="BP175" t="s">
        <v>140</v>
      </c>
      <c r="BQ175" t="s">
        <v>140</v>
      </c>
      <c r="BR175" t="s">
        <v>140</v>
      </c>
      <c r="BS175" t="s">
        <v>140</v>
      </c>
      <c r="BT175" t="s">
        <v>140</v>
      </c>
      <c r="BU175" t="s">
        <v>140</v>
      </c>
      <c r="BV175" t="s">
        <v>140</v>
      </c>
      <c r="BW175" t="s">
        <v>140</v>
      </c>
      <c r="BX175" t="s">
        <v>140</v>
      </c>
      <c r="BY175" t="s">
        <v>140</v>
      </c>
      <c r="BZ175" t="s">
        <v>140</v>
      </c>
      <c r="CA175" t="s">
        <v>140</v>
      </c>
      <c r="CB175" t="s">
        <v>140</v>
      </c>
      <c r="CC175" t="s">
        <v>140</v>
      </c>
      <c r="CD175" t="s">
        <v>140</v>
      </c>
      <c r="CE175" t="s">
        <v>140</v>
      </c>
      <c r="CF175" t="s">
        <v>140</v>
      </c>
      <c r="CG175" t="s">
        <v>140</v>
      </c>
      <c r="CH175" t="s">
        <v>140</v>
      </c>
      <c r="CI175" t="s">
        <v>140</v>
      </c>
      <c r="CJ175" t="s">
        <v>140</v>
      </c>
      <c r="CK175" t="s">
        <v>140</v>
      </c>
      <c r="CL175" t="s">
        <v>140</v>
      </c>
      <c r="CM175" t="s">
        <v>140</v>
      </c>
      <c r="CN175" t="s">
        <v>140</v>
      </c>
      <c r="CO175" t="s">
        <v>140</v>
      </c>
      <c r="CP175" t="s">
        <v>140</v>
      </c>
      <c r="CQ175" t="s">
        <v>140</v>
      </c>
      <c r="CR175" t="s">
        <v>140</v>
      </c>
      <c r="CS175" t="s">
        <v>140</v>
      </c>
      <c r="CT175" t="s">
        <v>140</v>
      </c>
      <c r="CU175" t="s">
        <v>140</v>
      </c>
      <c r="CV175" t="s">
        <v>140</v>
      </c>
      <c r="CW175" t="s">
        <v>140</v>
      </c>
      <c r="CX175" t="s">
        <v>140</v>
      </c>
      <c r="CY175" t="s">
        <v>140</v>
      </c>
      <c r="CZ175" t="s">
        <v>140</v>
      </c>
      <c r="DA175" t="s">
        <v>140</v>
      </c>
      <c r="DB175" t="s">
        <v>140</v>
      </c>
      <c r="DC175" s="1">
        <v>0</v>
      </c>
      <c r="DD175" s="1">
        <v>0</v>
      </c>
      <c r="DE175" s="1">
        <v>0</v>
      </c>
      <c r="DF175" s="1">
        <v>0</v>
      </c>
      <c r="DG175" s="1">
        <v>0</v>
      </c>
      <c r="DH175" s="1">
        <v>0</v>
      </c>
      <c r="DI175" s="1">
        <v>0</v>
      </c>
      <c r="DJ175" s="1">
        <v>0</v>
      </c>
      <c r="DK175" s="1">
        <v>0</v>
      </c>
      <c r="DL175" s="1">
        <v>0</v>
      </c>
      <c r="DM175" s="1">
        <v>0</v>
      </c>
      <c r="DN175" s="1">
        <v>0</v>
      </c>
      <c r="DO175" s="1">
        <v>0</v>
      </c>
      <c r="DP175" s="1">
        <v>0</v>
      </c>
      <c r="DQ175" s="1">
        <v>0</v>
      </c>
      <c r="DR175" s="1">
        <v>0</v>
      </c>
      <c r="DS175" s="1">
        <v>0</v>
      </c>
      <c r="DT175" s="1">
        <v>0</v>
      </c>
      <c r="DU175" s="1">
        <v>0</v>
      </c>
      <c r="DV175" s="1">
        <v>0</v>
      </c>
      <c r="DW175" s="1">
        <v>0</v>
      </c>
      <c r="DX175" s="1">
        <v>0</v>
      </c>
      <c r="DY175" s="1">
        <v>0</v>
      </c>
      <c r="DZ175" s="1">
        <v>0</v>
      </c>
      <c r="EA175" s="1">
        <v>-2006</v>
      </c>
      <c r="EB175" s="1">
        <v>-771</v>
      </c>
      <c r="EC175" s="1">
        <v>0</v>
      </c>
      <c r="ED175" s="1">
        <v>0</v>
      </c>
    </row>
    <row r="176" spans="1:134" x14ac:dyDescent="0.25">
      <c r="A176" t="s">
        <v>292</v>
      </c>
      <c r="B176" s="1">
        <v>0</v>
      </c>
      <c r="C176" s="1">
        <v>0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4430</v>
      </c>
      <c r="K176" s="1">
        <v>4095</v>
      </c>
      <c r="L176" s="1">
        <v>0</v>
      </c>
      <c r="M176" s="1">
        <v>0</v>
      </c>
      <c r="N176" t="s">
        <v>141</v>
      </c>
      <c r="O176" t="s">
        <v>140</v>
      </c>
      <c r="P176" t="s">
        <v>140</v>
      </c>
      <c r="Q176" t="s">
        <v>140</v>
      </c>
      <c r="R176" t="s">
        <v>140</v>
      </c>
      <c r="S176" t="s">
        <v>140</v>
      </c>
      <c r="T176" t="s">
        <v>140</v>
      </c>
      <c r="U176" t="s">
        <v>140</v>
      </c>
      <c r="V176" t="s">
        <v>140</v>
      </c>
      <c r="W176" t="s">
        <v>140</v>
      </c>
      <c r="X176" t="s">
        <v>140</v>
      </c>
      <c r="Y176" t="s">
        <v>140</v>
      </c>
      <c r="Z176" t="s">
        <v>140</v>
      </c>
      <c r="AA176" t="s">
        <v>140</v>
      </c>
      <c r="AB176" t="s">
        <v>140</v>
      </c>
      <c r="AC176" t="s">
        <v>140</v>
      </c>
      <c r="AD176" t="s">
        <v>140</v>
      </c>
      <c r="AE176" t="s">
        <v>140</v>
      </c>
      <c r="AF176" t="s">
        <v>140</v>
      </c>
      <c r="AG176" t="s">
        <v>140</v>
      </c>
      <c r="AH176" t="s">
        <v>140</v>
      </c>
      <c r="AI176" t="s">
        <v>140</v>
      </c>
      <c r="AJ176" t="s">
        <v>140</v>
      </c>
      <c r="AK176" t="s">
        <v>140</v>
      </c>
      <c r="AL176" t="s">
        <v>140</v>
      </c>
      <c r="AM176" t="s">
        <v>140</v>
      </c>
      <c r="AN176" t="s">
        <v>140</v>
      </c>
      <c r="AO176" t="s">
        <v>140</v>
      </c>
      <c r="AP176" t="s">
        <v>140</v>
      </c>
      <c r="AQ176" t="s">
        <v>140</v>
      </c>
      <c r="AR176" t="s">
        <v>140</v>
      </c>
      <c r="AS176" t="s">
        <v>140</v>
      </c>
      <c r="AT176" t="s">
        <v>140</v>
      </c>
      <c r="AU176" t="s">
        <v>140</v>
      </c>
      <c r="AV176" t="s">
        <v>140</v>
      </c>
      <c r="AW176" t="s">
        <v>140</v>
      </c>
      <c r="AX176" t="s">
        <v>140</v>
      </c>
      <c r="AY176" t="s">
        <v>140</v>
      </c>
      <c r="AZ176" t="s">
        <v>140</v>
      </c>
      <c r="BA176" t="s">
        <v>140</v>
      </c>
      <c r="BB176" t="s">
        <v>140</v>
      </c>
      <c r="BC176" t="s">
        <v>140</v>
      </c>
      <c r="BD176" t="s">
        <v>140</v>
      </c>
      <c r="BE176" t="s">
        <v>140</v>
      </c>
      <c r="BF176" t="s">
        <v>140</v>
      </c>
      <c r="BG176" t="s">
        <v>140</v>
      </c>
      <c r="BH176" t="s">
        <v>140</v>
      </c>
      <c r="BI176" t="s">
        <v>140</v>
      </c>
      <c r="BJ176" t="s">
        <v>140</v>
      </c>
      <c r="BK176" t="s">
        <v>140</v>
      </c>
      <c r="BL176" t="s">
        <v>140</v>
      </c>
      <c r="BM176" t="s">
        <v>140</v>
      </c>
      <c r="BN176" t="s">
        <v>140</v>
      </c>
      <c r="BO176" t="s">
        <v>140</v>
      </c>
      <c r="BP176" t="s">
        <v>140</v>
      </c>
      <c r="BQ176" t="s">
        <v>140</v>
      </c>
      <c r="BR176" t="s">
        <v>140</v>
      </c>
      <c r="BS176" t="s">
        <v>140</v>
      </c>
      <c r="BT176" t="s">
        <v>140</v>
      </c>
      <c r="BU176" t="s">
        <v>140</v>
      </c>
      <c r="BV176" t="s">
        <v>140</v>
      </c>
      <c r="BW176" t="s">
        <v>140</v>
      </c>
      <c r="BX176" t="s">
        <v>140</v>
      </c>
      <c r="BY176" t="s">
        <v>140</v>
      </c>
      <c r="BZ176" t="s">
        <v>140</v>
      </c>
      <c r="CA176" t="s">
        <v>140</v>
      </c>
      <c r="CB176" t="s">
        <v>140</v>
      </c>
      <c r="CC176" t="s">
        <v>140</v>
      </c>
      <c r="CD176" t="s">
        <v>140</v>
      </c>
      <c r="CE176" t="s">
        <v>140</v>
      </c>
      <c r="CF176" t="s">
        <v>140</v>
      </c>
      <c r="CG176" t="s">
        <v>140</v>
      </c>
      <c r="CH176" t="s">
        <v>140</v>
      </c>
      <c r="CI176" t="s">
        <v>140</v>
      </c>
      <c r="CJ176" t="s">
        <v>140</v>
      </c>
      <c r="CK176" t="s">
        <v>140</v>
      </c>
      <c r="CL176" t="s">
        <v>140</v>
      </c>
      <c r="CM176" t="s">
        <v>140</v>
      </c>
      <c r="CN176" t="s">
        <v>140</v>
      </c>
      <c r="CO176" t="s">
        <v>140</v>
      </c>
      <c r="CP176" t="s">
        <v>140</v>
      </c>
      <c r="CQ176" t="s">
        <v>140</v>
      </c>
      <c r="CR176" t="s">
        <v>140</v>
      </c>
      <c r="CS176" t="s">
        <v>140</v>
      </c>
      <c r="CT176" t="s">
        <v>140</v>
      </c>
      <c r="CU176" t="s">
        <v>140</v>
      </c>
      <c r="CV176" t="s">
        <v>140</v>
      </c>
      <c r="CW176" t="s">
        <v>140</v>
      </c>
      <c r="CX176" t="s">
        <v>140</v>
      </c>
      <c r="CY176" t="s">
        <v>140</v>
      </c>
      <c r="CZ176" t="s">
        <v>140</v>
      </c>
      <c r="DA176" t="s">
        <v>140</v>
      </c>
      <c r="DB176" t="s">
        <v>140</v>
      </c>
      <c r="DC176" s="1">
        <v>0</v>
      </c>
      <c r="DD176" s="1">
        <v>0</v>
      </c>
      <c r="DE176" s="1">
        <v>0</v>
      </c>
      <c r="DF176" s="1">
        <v>0</v>
      </c>
      <c r="DG176" s="1">
        <v>0</v>
      </c>
      <c r="DH176" s="1">
        <v>0</v>
      </c>
      <c r="DI176" s="1">
        <v>0</v>
      </c>
      <c r="DJ176" s="1">
        <v>0</v>
      </c>
      <c r="DK176" s="1">
        <v>0</v>
      </c>
      <c r="DL176" s="1">
        <v>0</v>
      </c>
      <c r="DM176" s="1">
        <v>0</v>
      </c>
      <c r="DN176" s="1">
        <v>0</v>
      </c>
      <c r="DO176" s="1">
        <v>0</v>
      </c>
      <c r="DP176" s="1">
        <v>0</v>
      </c>
      <c r="DQ176" s="1">
        <v>0</v>
      </c>
      <c r="DR176" s="1">
        <v>0</v>
      </c>
      <c r="DS176" s="1">
        <v>0</v>
      </c>
      <c r="DT176" s="1">
        <v>0</v>
      </c>
      <c r="DU176" s="1">
        <v>0</v>
      </c>
      <c r="DV176" s="1">
        <v>0</v>
      </c>
      <c r="DW176" s="1">
        <v>0</v>
      </c>
      <c r="DX176" s="1">
        <v>0</v>
      </c>
      <c r="DY176" s="1">
        <v>5875</v>
      </c>
      <c r="DZ176" s="1">
        <v>-1445</v>
      </c>
      <c r="EA176" s="1">
        <v>395</v>
      </c>
      <c r="EB176" s="1">
        <v>3700</v>
      </c>
      <c r="EC176" s="1">
        <v>0</v>
      </c>
      <c r="ED176" s="1">
        <v>0</v>
      </c>
    </row>
    <row r="177" spans="1:134" x14ac:dyDescent="0.25">
      <c r="A177" t="s">
        <v>293</v>
      </c>
      <c r="B177" s="1">
        <v>0</v>
      </c>
      <c r="C177" s="1">
        <v>0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  <c r="M177" s="1">
        <v>0</v>
      </c>
      <c r="N177" t="s">
        <v>141</v>
      </c>
      <c r="O177" t="s">
        <v>140</v>
      </c>
      <c r="P177" t="s">
        <v>140</v>
      </c>
      <c r="Q177" t="s">
        <v>140</v>
      </c>
      <c r="R177" t="s">
        <v>140</v>
      </c>
      <c r="S177" t="s">
        <v>140</v>
      </c>
      <c r="T177" t="s">
        <v>140</v>
      </c>
      <c r="U177" t="s">
        <v>140</v>
      </c>
      <c r="V177" t="s">
        <v>140</v>
      </c>
      <c r="W177" t="s">
        <v>140</v>
      </c>
      <c r="X177" t="s">
        <v>140</v>
      </c>
      <c r="Y177" t="s">
        <v>140</v>
      </c>
      <c r="Z177" t="s">
        <v>140</v>
      </c>
      <c r="AA177" t="s">
        <v>140</v>
      </c>
      <c r="AB177" t="s">
        <v>140</v>
      </c>
      <c r="AC177" t="s">
        <v>140</v>
      </c>
      <c r="AD177" t="s">
        <v>140</v>
      </c>
      <c r="AE177" t="s">
        <v>140</v>
      </c>
      <c r="AF177" t="s">
        <v>140</v>
      </c>
      <c r="AG177" t="s">
        <v>140</v>
      </c>
      <c r="AH177" t="s">
        <v>140</v>
      </c>
      <c r="AI177" t="s">
        <v>140</v>
      </c>
      <c r="AJ177" t="s">
        <v>140</v>
      </c>
      <c r="AK177" t="s">
        <v>140</v>
      </c>
      <c r="AL177" t="s">
        <v>140</v>
      </c>
      <c r="AM177" t="s">
        <v>140</v>
      </c>
      <c r="AN177" t="s">
        <v>140</v>
      </c>
      <c r="AO177" t="s">
        <v>140</v>
      </c>
      <c r="AP177" t="s">
        <v>140</v>
      </c>
      <c r="AQ177" t="s">
        <v>140</v>
      </c>
      <c r="AR177" t="s">
        <v>140</v>
      </c>
      <c r="AS177" t="s">
        <v>140</v>
      </c>
      <c r="AT177" t="s">
        <v>140</v>
      </c>
      <c r="AU177" t="s">
        <v>140</v>
      </c>
      <c r="AV177" t="s">
        <v>140</v>
      </c>
      <c r="AW177" t="s">
        <v>140</v>
      </c>
      <c r="AX177" t="s">
        <v>140</v>
      </c>
      <c r="AY177" t="s">
        <v>140</v>
      </c>
      <c r="AZ177" t="s">
        <v>140</v>
      </c>
      <c r="BA177" t="s">
        <v>140</v>
      </c>
      <c r="BB177" t="s">
        <v>140</v>
      </c>
      <c r="BC177" t="s">
        <v>140</v>
      </c>
      <c r="BD177" t="s">
        <v>140</v>
      </c>
      <c r="BE177" t="s">
        <v>140</v>
      </c>
      <c r="BF177" t="s">
        <v>140</v>
      </c>
      <c r="BG177" t="s">
        <v>140</v>
      </c>
      <c r="BH177" t="s">
        <v>140</v>
      </c>
      <c r="BI177" t="s">
        <v>140</v>
      </c>
      <c r="BJ177" t="s">
        <v>140</v>
      </c>
      <c r="BK177" t="s">
        <v>140</v>
      </c>
      <c r="BL177" t="s">
        <v>140</v>
      </c>
      <c r="BM177" t="s">
        <v>140</v>
      </c>
      <c r="BN177" t="s">
        <v>140</v>
      </c>
      <c r="BO177" t="s">
        <v>140</v>
      </c>
      <c r="BP177" t="s">
        <v>140</v>
      </c>
      <c r="BQ177" t="s">
        <v>140</v>
      </c>
      <c r="BR177" t="s">
        <v>140</v>
      </c>
      <c r="BS177" t="s">
        <v>140</v>
      </c>
      <c r="BT177" t="s">
        <v>140</v>
      </c>
      <c r="BU177" t="s">
        <v>140</v>
      </c>
      <c r="BV177" t="s">
        <v>140</v>
      </c>
      <c r="BW177" t="s">
        <v>140</v>
      </c>
      <c r="BX177" t="s">
        <v>140</v>
      </c>
      <c r="BY177" t="s">
        <v>140</v>
      </c>
      <c r="BZ177" t="s">
        <v>140</v>
      </c>
      <c r="CA177" t="s">
        <v>140</v>
      </c>
      <c r="CB177" t="s">
        <v>140</v>
      </c>
      <c r="CC177" t="s">
        <v>140</v>
      </c>
      <c r="CD177" t="s">
        <v>140</v>
      </c>
      <c r="CE177" t="s">
        <v>140</v>
      </c>
      <c r="CF177" t="s">
        <v>140</v>
      </c>
      <c r="CG177" t="s">
        <v>140</v>
      </c>
      <c r="CH177" t="s">
        <v>140</v>
      </c>
      <c r="CI177" t="s">
        <v>140</v>
      </c>
      <c r="CJ177" t="s">
        <v>140</v>
      </c>
      <c r="CK177" t="s">
        <v>140</v>
      </c>
      <c r="CL177" t="s">
        <v>140</v>
      </c>
      <c r="CM177" t="s">
        <v>140</v>
      </c>
      <c r="CN177" t="s">
        <v>140</v>
      </c>
      <c r="CO177" t="s">
        <v>140</v>
      </c>
      <c r="CP177" t="s">
        <v>140</v>
      </c>
      <c r="CQ177" t="s">
        <v>140</v>
      </c>
      <c r="CR177" t="s">
        <v>140</v>
      </c>
      <c r="CS177" t="s">
        <v>140</v>
      </c>
      <c r="CT177" t="s">
        <v>140</v>
      </c>
      <c r="CU177" t="s">
        <v>140</v>
      </c>
      <c r="CV177" t="s">
        <v>140</v>
      </c>
      <c r="CW177" t="s">
        <v>140</v>
      </c>
      <c r="CX177" t="s">
        <v>140</v>
      </c>
      <c r="CY177" t="s">
        <v>140</v>
      </c>
      <c r="CZ177" t="s">
        <v>140</v>
      </c>
      <c r="DA177" t="s">
        <v>140</v>
      </c>
      <c r="DB177" t="s">
        <v>140</v>
      </c>
      <c r="DC177" s="1">
        <v>0</v>
      </c>
      <c r="DD177" s="1">
        <v>0</v>
      </c>
      <c r="DE177" s="1">
        <v>0</v>
      </c>
      <c r="DF177" s="1">
        <v>0</v>
      </c>
      <c r="DG177" s="1">
        <v>0</v>
      </c>
      <c r="DH177" s="1">
        <v>0</v>
      </c>
      <c r="DI177" s="1">
        <v>0</v>
      </c>
      <c r="DJ177" s="1">
        <v>0</v>
      </c>
      <c r="DK177" s="1">
        <v>0</v>
      </c>
      <c r="DL177" s="1">
        <v>0</v>
      </c>
      <c r="DM177" s="1">
        <v>0</v>
      </c>
      <c r="DN177" s="1">
        <v>0</v>
      </c>
      <c r="DO177" s="1">
        <v>0</v>
      </c>
      <c r="DP177" s="1">
        <v>0</v>
      </c>
      <c r="DQ177" s="1">
        <v>0</v>
      </c>
      <c r="DR177" s="1">
        <v>0</v>
      </c>
      <c r="DS177" s="1">
        <v>0</v>
      </c>
      <c r="DT177" s="1">
        <v>0</v>
      </c>
      <c r="DU177" s="1">
        <v>0</v>
      </c>
      <c r="DV177" s="1">
        <v>0</v>
      </c>
      <c r="DW177" s="1">
        <v>0</v>
      </c>
      <c r="DX177" s="1">
        <v>0</v>
      </c>
      <c r="DY177" s="1">
        <v>0</v>
      </c>
      <c r="DZ177" s="1">
        <v>0</v>
      </c>
      <c r="EA177" s="1">
        <v>0</v>
      </c>
      <c r="EB177" s="1">
        <v>0</v>
      </c>
      <c r="EC177" s="1">
        <v>0</v>
      </c>
      <c r="ED177" s="1">
        <v>0</v>
      </c>
    </row>
    <row r="178" spans="1:134" x14ac:dyDescent="0.25">
      <c r="A178" t="s">
        <v>294</v>
      </c>
      <c r="B178" s="1">
        <v>0</v>
      </c>
      <c r="C178" s="1">
        <v>0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  <c r="M178" s="1">
        <v>0</v>
      </c>
      <c r="N178" t="s">
        <v>141</v>
      </c>
      <c r="O178" t="s">
        <v>140</v>
      </c>
      <c r="P178" t="s">
        <v>140</v>
      </c>
      <c r="Q178" t="s">
        <v>140</v>
      </c>
      <c r="R178" t="s">
        <v>140</v>
      </c>
      <c r="S178" t="s">
        <v>140</v>
      </c>
      <c r="T178" t="s">
        <v>140</v>
      </c>
      <c r="U178" t="s">
        <v>140</v>
      </c>
      <c r="V178" t="s">
        <v>140</v>
      </c>
      <c r="W178" t="s">
        <v>140</v>
      </c>
      <c r="X178" t="s">
        <v>140</v>
      </c>
      <c r="Y178" t="s">
        <v>140</v>
      </c>
      <c r="Z178" t="s">
        <v>140</v>
      </c>
      <c r="AA178" t="s">
        <v>140</v>
      </c>
      <c r="AB178" t="s">
        <v>140</v>
      </c>
      <c r="AC178" t="s">
        <v>140</v>
      </c>
      <c r="AD178" t="s">
        <v>140</v>
      </c>
      <c r="AE178" t="s">
        <v>140</v>
      </c>
      <c r="AF178" t="s">
        <v>140</v>
      </c>
      <c r="AG178" t="s">
        <v>140</v>
      </c>
      <c r="AH178" t="s">
        <v>140</v>
      </c>
      <c r="AI178" t="s">
        <v>140</v>
      </c>
      <c r="AJ178" t="s">
        <v>140</v>
      </c>
      <c r="AK178" t="s">
        <v>140</v>
      </c>
      <c r="AL178" t="s">
        <v>140</v>
      </c>
      <c r="AM178" t="s">
        <v>140</v>
      </c>
      <c r="AN178" t="s">
        <v>140</v>
      </c>
      <c r="AO178" t="s">
        <v>140</v>
      </c>
      <c r="AP178" t="s">
        <v>140</v>
      </c>
      <c r="AQ178" t="s">
        <v>140</v>
      </c>
      <c r="AR178" t="s">
        <v>140</v>
      </c>
      <c r="AS178" t="s">
        <v>140</v>
      </c>
      <c r="AT178" t="s">
        <v>140</v>
      </c>
      <c r="AU178" t="s">
        <v>140</v>
      </c>
      <c r="AV178" t="s">
        <v>140</v>
      </c>
      <c r="AW178" t="s">
        <v>140</v>
      </c>
      <c r="AX178" t="s">
        <v>140</v>
      </c>
      <c r="AY178" t="s">
        <v>140</v>
      </c>
      <c r="AZ178" t="s">
        <v>140</v>
      </c>
      <c r="BA178" t="s">
        <v>140</v>
      </c>
      <c r="BB178" t="s">
        <v>140</v>
      </c>
      <c r="BC178" t="s">
        <v>140</v>
      </c>
      <c r="BD178" t="s">
        <v>140</v>
      </c>
      <c r="BE178" t="s">
        <v>140</v>
      </c>
      <c r="BF178" t="s">
        <v>140</v>
      </c>
      <c r="BG178" t="s">
        <v>140</v>
      </c>
      <c r="BH178" t="s">
        <v>140</v>
      </c>
      <c r="BI178" t="s">
        <v>140</v>
      </c>
      <c r="BJ178" t="s">
        <v>140</v>
      </c>
      <c r="BK178" t="s">
        <v>140</v>
      </c>
      <c r="BL178" t="s">
        <v>140</v>
      </c>
      <c r="BM178" t="s">
        <v>140</v>
      </c>
      <c r="BN178" t="s">
        <v>140</v>
      </c>
      <c r="BO178" t="s">
        <v>140</v>
      </c>
      <c r="BP178" t="s">
        <v>140</v>
      </c>
      <c r="BQ178" t="s">
        <v>140</v>
      </c>
      <c r="BR178" t="s">
        <v>140</v>
      </c>
      <c r="BS178" t="s">
        <v>140</v>
      </c>
      <c r="BT178" t="s">
        <v>140</v>
      </c>
      <c r="BU178" t="s">
        <v>140</v>
      </c>
      <c r="BV178" t="s">
        <v>140</v>
      </c>
      <c r="BW178" t="s">
        <v>140</v>
      </c>
      <c r="BX178" t="s">
        <v>140</v>
      </c>
      <c r="BY178" t="s">
        <v>140</v>
      </c>
      <c r="BZ178" t="s">
        <v>140</v>
      </c>
      <c r="CA178" t="s">
        <v>140</v>
      </c>
      <c r="CB178" t="s">
        <v>140</v>
      </c>
      <c r="CC178" t="s">
        <v>140</v>
      </c>
      <c r="CD178" t="s">
        <v>140</v>
      </c>
      <c r="CE178" t="s">
        <v>140</v>
      </c>
      <c r="CF178" t="s">
        <v>140</v>
      </c>
      <c r="CG178" t="s">
        <v>140</v>
      </c>
      <c r="CH178" t="s">
        <v>140</v>
      </c>
      <c r="CI178" t="s">
        <v>140</v>
      </c>
      <c r="CJ178" t="s">
        <v>140</v>
      </c>
      <c r="CK178" t="s">
        <v>140</v>
      </c>
      <c r="CL178" t="s">
        <v>140</v>
      </c>
      <c r="CM178" t="s">
        <v>140</v>
      </c>
      <c r="CN178" t="s">
        <v>140</v>
      </c>
      <c r="CO178" t="s">
        <v>140</v>
      </c>
      <c r="CP178" t="s">
        <v>140</v>
      </c>
      <c r="CQ178" t="s">
        <v>140</v>
      </c>
      <c r="CR178" t="s">
        <v>140</v>
      </c>
      <c r="CS178" t="s">
        <v>140</v>
      </c>
      <c r="CT178" t="s">
        <v>140</v>
      </c>
      <c r="CU178" t="s">
        <v>140</v>
      </c>
      <c r="CV178" t="s">
        <v>140</v>
      </c>
      <c r="CW178" t="s">
        <v>140</v>
      </c>
      <c r="CX178" t="s">
        <v>140</v>
      </c>
      <c r="CY178" t="s">
        <v>140</v>
      </c>
      <c r="CZ178" t="s">
        <v>140</v>
      </c>
      <c r="DA178" t="s">
        <v>140</v>
      </c>
      <c r="DB178" t="s">
        <v>140</v>
      </c>
      <c r="DC178" s="1">
        <v>0</v>
      </c>
      <c r="DD178" s="1">
        <v>0</v>
      </c>
      <c r="DE178" s="1">
        <v>0</v>
      </c>
      <c r="DF178" s="1">
        <v>0</v>
      </c>
      <c r="DG178" s="1">
        <v>0</v>
      </c>
      <c r="DH178" s="1">
        <v>0</v>
      </c>
      <c r="DI178" s="1">
        <v>0</v>
      </c>
      <c r="DJ178" s="1">
        <v>0</v>
      </c>
      <c r="DK178" s="1">
        <v>0</v>
      </c>
      <c r="DL178" s="1">
        <v>0</v>
      </c>
      <c r="DM178" s="1">
        <v>0</v>
      </c>
      <c r="DN178" s="1">
        <v>0</v>
      </c>
      <c r="DO178" s="1">
        <v>0</v>
      </c>
      <c r="DP178" s="1">
        <v>0</v>
      </c>
      <c r="DQ178" s="1">
        <v>0</v>
      </c>
      <c r="DR178" s="1">
        <v>0</v>
      </c>
      <c r="DS178" s="1">
        <v>0</v>
      </c>
      <c r="DT178" s="1">
        <v>0</v>
      </c>
      <c r="DU178" s="1">
        <v>0</v>
      </c>
      <c r="DV178" s="1">
        <v>0</v>
      </c>
      <c r="DW178" s="1">
        <v>0</v>
      </c>
      <c r="DX178" s="1">
        <v>0</v>
      </c>
      <c r="DY178" s="1">
        <v>0</v>
      </c>
      <c r="DZ178" s="1">
        <v>0</v>
      </c>
      <c r="EA178" s="1">
        <v>0</v>
      </c>
      <c r="EB178" s="1">
        <v>0</v>
      </c>
      <c r="EC178" s="1">
        <v>0</v>
      </c>
      <c r="ED178" s="1">
        <v>0</v>
      </c>
    </row>
    <row r="179" spans="1:134" x14ac:dyDescent="0.25">
      <c r="A179" t="s">
        <v>295</v>
      </c>
      <c r="B179" s="1">
        <v>-633</v>
      </c>
      <c r="C179" s="1">
        <v>-2238</v>
      </c>
      <c r="D179" s="1">
        <v>-766</v>
      </c>
      <c r="E179" s="1">
        <v>-1718</v>
      </c>
      <c r="F179" s="1">
        <v>-3205</v>
      </c>
      <c r="G179" s="1">
        <v>275</v>
      </c>
      <c r="H179" s="1">
        <v>461</v>
      </c>
      <c r="I179" s="1">
        <v>12622</v>
      </c>
      <c r="J179" s="1">
        <v>9479</v>
      </c>
      <c r="K179" s="1">
        <v>-1200</v>
      </c>
      <c r="L179" s="1">
        <v>-7450</v>
      </c>
      <c r="M179" s="1">
        <v>-10505</v>
      </c>
      <c r="N179" t="s">
        <v>141</v>
      </c>
      <c r="O179" t="s">
        <v>140</v>
      </c>
      <c r="P179" t="s">
        <v>140</v>
      </c>
      <c r="Q179" t="s">
        <v>140</v>
      </c>
      <c r="R179" t="s">
        <v>140</v>
      </c>
      <c r="S179" t="s">
        <v>140</v>
      </c>
      <c r="T179" t="s">
        <v>140</v>
      </c>
      <c r="U179" t="s">
        <v>140</v>
      </c>
      <c r="V179" t="s">
        <v>140</v>
      </c>
      <c r="W179" t="s">
        <v>140</v>
      </c>
      <c r="X179" t="s">
        <v>140</v>
      </c>
      <c r="Y179" t="s">
        <v>140</v>
      </c>
      <c r="Z179" t="s">
        <v>140</v>
      </c>
      <c r="AA179" t="s">
        <v>140</v>
      </c>
      <c r="AB179" t="s">
        <v>140</v>
      </c>
      <c r="AC179" t="s">
        <v>140</v>
      </c>
      <c r="AD179" t="s">
        <v>140</v>
      </c>
      <c r="AE179" t="s">
        <v>140</v>
      </c>
      <c r="AF179" t="s">
        <v>140</v>
      </c>
      <c r="AG179" t="s">
        <v>140</v>
      </c>
      <c r="AH179" t="s">
        <v>140</v>
      </c>
      <c r="AI179" t="s">
        <v>140</v>
      </c>
      <c r="AJ179" t="s">
        <v>140</v>
      </c>
      <c r="AK179" t="s">
        <v>140</v>
      </c>
      <c r="AL179" t="s">
        <v>140</v>
      </c>
      <c r="AM179" t="s">
        <v>140</v>
      </c>
      <c r="AN179" t="s">
        <v>140</v>
      </c>
      <c r="AO179" t="s">
        <v>140</v>
      </c>
      <c r="AP179" t="s">
        <v>140</v>
      </c>
      <c r="AQ179" t="s">
        <v>140</v>
      </c>
      <c r="AR179" t="s">
        <v>140</v>
      </c>
      <c r="AS179" t="s">
        <v>140</v>
      </c>
      <c r="AT179" t="s">
        <v>140</v>
      </c>
      <c r="AU179" t="s">
        <v>140</v>
      </c>
      <c r="AV179" t="s">
        <v>140</v>
      </c>
      <c r="AW179" t="s">
        <v>140</v>
      </c>
      <c r="AX179" t="s">
        <v>140</v>
      </c>
      <c r="AY179" t="s">
        <v>140</v>
      </c>
      <c r="AZ179" t="s">
        <v>140</v>
      </c>
      <c r="BA179" t="s">
        <v>140</v>
      </c>
      <c r="BB179" t="s">
        <v>140</v>
      </c>
      <c r="BC179" t="s">
        <v>140</v>
      </c>
      <c r="BD179" t="s">
        <v>140</v>
      </c>
      <c r="BE179" t="s">
        <v>140</v>
      </c>
      <c r="BF179" t="s">
        <v>140</v>
      </c>
      <c r="BG179" t="s">
        <v>140</v>
      </c>
      <c r="BH179" t="s">
        <v>140</v>
      </c>
      <c r="BI179" t="s">
        <v>140</v>
      </c>
      <c r="BJ179" t="s">
        <v>140</v>
      </c>
      <c r="BK179" t="s">
        <v>140</v>
      </c>
      <c r="BL179" t="s">
        <v>140</v>
      </c>
      <c r="BM179" t="s">
        <v>140</v>
      </c>
      <c r="BN179" t="s">
        <v>140</v>
      </c>
      <c r="BO179" t="s">
        <v>140</v>
      </c>
      <c r="BP179" t="s">
        <v>140</v>
      </c>
      <c r="BQ179" t="s">
        <v>140</v>
      </c>
      <c r="BR179" t="s">
        <v>140</v>
      </c>
      <c r="BS179" t="s">
        <v>140</v>
      </c>
      <c r="BT179" t="s">
        <v>140</v>
      </c>
      <c r="BU179" t="s">
        <v>140</v>
      </c>
      <c r="BV179" t="s">
        <v>140</v>
      </c>
      <c r="BW179" t="s">
        <v>140</v>
      </c>
      <c r="BX179" t="s">
        <v>140</v>
      </c>
      <c r="BY179" t="s">
        <v>140</v>
      </c>
      <c r="BZ179" t="s">
        <v>140</v>
      </c>
      <c r="CA179" t="s">
        <v>140</v>
      </c>
      <c r="CB179" t="s">
        <v>140</v>
      </c>
      <c r="CC179" t="s">
        <v>140</v>
      </c>
      <c r="CD179" t="s">
        <v>140</v>
      </c>
      <c r="CE179" t="s">
        <v>140</v>
      </c>
      <c r="CF179" t="s">
        <v>140</v>
      </c>
      <c r="CG179" t="s">
        <v>140</v>
      </c>
      <c r="CH179" t="s">
        <v>140</v>
      </c>
      <c r="CI179" t="s">
        <v>140</v>
      </c>
      <c r="CJ179" t="s">
        <v>140</v>
      </c>
      <c r="CK179" t="s">
        <v>140</v>
      </c>
      <c r="CL179" t="s">
        <v>140</v>
      </c>
      <c r="CM179" t="s">
        <v>140</v>
      </c>
      <c r="CN179" t="s">
        <v>140</v>
      </c>
      <c r="CO179" t="s">
        <v>140</v>
      </c>
      <c r="CP179" t="s">
        <v>140</v>
      </c>
      <c r="CQ179" t="s">
        <v>140</v>
      </c>
      <c r="CR179" t="s">
        <v>140</v>
      </c>
      <c r="CS179" t="s">
        <v>140</v>
      </c>
      <c r="CT179" t="s">
        <v>140</v>
      </c>
      <c r="CU179" t="s">
        <v>140</v>
      </c>
      <c r="CV179" t="s">
        <v>140</v>
      </c>
      <c r="CW179" t="s">
        <v>140</v>
      </c>
      <c r="CX179" t="s">
        <v>140</v>
      </c>
      <c r="CY179" t="s">
        <v>140</v>
      </c>
      <c r="CZ179" t="s">
        <v>140</v>
      </c>
      <c r="DA179" t="s">
        <v>140</v>
      </c>
      <c r="DB179" t="s">
        <v>140</v>
      </c>
      <c r="DC179" s="1">
        <v>0</v>
      </c>
      <c r="DD179" s="1">
        <v>0</v>
      </c>
      <c r="DE179" s="1">
        <v>0</v>
      </c>
      <c r="DF179" s="1">
        <v>0</v>
      </c>
      <c r="DG179" s="1">
        <v>190</v>
      </c>
      <c r="DH179" s="1">
        <v>295</v>
      </c>
      <c r="DI179" s="1">
        <v>244</v>
      </c>
      <c r="DJ179" s="1">
        <v>-877</v>
      </c>
      <c r="DK179" s="1">
        <v>-1303</v>
      </c>
      <c r="DL179" s="1">
        <v>-935</v>
      </c>
      <c r="DM179" s="1">
        <v>-1423</v>
      </c>
      <c r="DN179" s="1">
        <v>657</v>
      </c>
      <c r="DO179" s="1">
        <v>-1397</v>
      </c>
      <c r="DP179" s="1">
        <v>-321</v>
      </c>
      <c r="DQ179" s="1">
        <v>1502</v>
      </c>
      <c r="DR179" s="1">
        <v>-4707</v>
      </c>
      <c r="DS179" s="1">
        <v>532</v>
      </c>
      <c r="DT179" s="1">
        <v>-257</v>
      </c>
      <c r="DU179" s="1">
        <v>-2230</v>
      </c>
      <c r="DV179" s="1">
        <v>2691</v>
      </c>
      <c r="DW179" s="1">
        <v>-885</v>
      </c>
      <c r="DX179" s="1">
        <v>13507</v>
      </c>
      <c r="DY179" s="1">
        <v>-1255</v>
      </c>
      <c r="DZ179" s="1">
        <v>3649</v>
      </c>
      <c r="EA179" s="1">
        <v>-565</v>
      </c>
      <c r="EB179" s="1">
        <v>-635</v>
      </c>
      <c r="EC179" s="1">
        <v>-7066</v>
      </c>
      <c r="ED179" s="1">
        <v>-3439</v>
      </c>
    </row>
    <row r="180" spans="1:134" x14ac:dyDescent="0.25">
      <c r="A180" t="s">
        <v>296</v>
      </c>
      <c r="B180" s="1">
        <v>-648</v>
      </c>
      <c r="C180" s="1">
        <v>-4013</v>
      </c>
      <c r="D180" s="1">
        <v>-791</v>
      </c>
      <c r="E180" s="1">
        <v>-1736</v>
      </c>
      <c r="F180" s="1">
        <v>-4610</v>
      </c>
      <c r="G180" s="1">
        <v>-9562</v>
      </c>
      <c r="H180" s="1">
        <v>422</v>
      </c>
      <c r="I180" s="1">
        <v>8087</v>
      </c>
      <c r="J180" s="1">
        <v>6775</v>
      </c>
      <c r="K180" s="1">
        <v>-532</v>
      </c>
      <c r="L180" s="1">
        <v>-10542</v>
      </c>
      <c r="M180" s="1">
        <v>-10542</v>
      </c>
      <c r="N180" t="s">
        <v>141</v>
      </c>
      <c r="O180" t="s">
        <v>140</v>
      </c>
      <c r="P180" t="s">
        <v>140</v>
      </c>
      <c r="Q180" t="s">
        <v>140</v>
      </c>
      <c r="R180" t="s">
        <v>140</v>
      </c>
      <c r="S180" t="s">
        <v>140</v>
      </c>
      <c r="T180" t="s">
        <v>140</v>
      </c>
      <c r="U180" t="s">
        <v>140</v>
      </c>
      <c r="V180" t="s">
        <v>140</v>
      </c>
      <c r="W180" t="s">
        <v>140</v>
      </c>
      <c r="X180" t="s">
        <v>140</v>
      </c>
      <c r="Y180" t="s">
        <v>140</v>
      </c>
      <c r="Z180" t="s">
        <v>140</v>
      </c>
      <c r="AA180" t="s">
        <v>140</v>
      </c>
      <c r="AB180" t="s">
        <v>140</v>
      </c>
      <c r="AC180" t="s">
        <v>140</v>
      </c>
      <c r="AD180" t="s">
        <v>140</v>
      </c>
      <c r="AE180" t="s">
        <v>140</v>
      </c>
      <c r="AF180" t="s">
        <v>140</v>
      </c>
      <c r="AG180" t="s">
        <v>140</v>
      </c>
      <c r="AH180" t="s">
        <v>140</v>
      </c>
      <c r="AI180" t="s">
        <v>140</v>
      </c>
      <c r="AJ180" t="s">
        <v>140</v>
      </c>
      <c r="AK180" t="s">
        <v>140</v>
      </c>
      <c r="AL180" t="s">
        <v>140</v>
      </c>
      <c r="AM180" t="s">
        <v>140</v>
      </c>
      <c r="AN180" t="s">
        <v>140</v>
      </c>
      <c r="AO180" t="s">
        <v>140</v>
      </c>
      <c r="AP180" t="s">
        <v>140</v>
      </c>
      <c r="AQ180" t="s">
        <v>140</v>
      </c>
      <c r="AR180" t="s">
        <v>140</v>
      </c>
      <c r="AS180" t="s">
        <v>140</v>
      </c>
      <c r="AT180" t="s">
        <v>140</v>
      </c>
      <c r="AU180" t="s">
        <v>140</v>
      </c>
      <c r="AV180" t="s">
        <v>140</v>
      </c>
      <c r="AW180" t="s">
        <v>140</v>
      </c>
      <c r="AX180" t="s">
        <v>140</v>
      </c>
      <c r="AY180" t="s">
        <v>140</v>
      </c>
      <c r="AZ180" t="s">
        <v>140</v>
      </c>
      <c r="BA180" t="s">
        <v>140</v>
      </c>
      <c r="BB180" t="s">
        <v>140</v>
      </c>
      <c r="BC180" t="s">
        <v>140</v>
      </c>
      <c r="BD180" t="s">
        <v>140</v>
      </c>
      <c r="BE180" t="s">
        <v>140</v>
      </c>
      <c r="BF180" t="s">
        <v>140</v>
      </c>
      <c r="BG180" t="s">
        <v>140</v>
      </c>
      <c r="BH180" t="s">
        <v>140</v>
      </c>
      <c r="BI180" t="s">
        <v>140</v>
      </c>
      <c r="BJ180" t="s">
        <v>140</v>
      </c>
      <c r="BK180" t="s">
        <v>140</v>
      </c>
      <c r="BL180" t="s">
        <v>140</v>
      </c>
      <c r="BM180" t="s">
        <v>140</v>
      </c>
      <c r="BN180" t="s">
        <v>140</v>
      </c>
      <c r="BO180" t="s">
        <v>140</v>
      </c>
      <c r="BP180" t="s">
        <v>140</v>
      </c>
      <c r="BQ180" t="s">
        <v>140</v>
      </c>
      <c r="BR180" t="s">
        <v>140</v>
      </c>
      <c r="BS180" t="s">
        <v>140</v>
      </c>
      <c r="BT180" t="s">
        <v>140</v>
      </c>
      <c r="BU180" t="s">
        <v>140</v>
      </c>
      <c r="BV180" t="s">
        <v>140</v>
      </c>
      <c r="BW180" t="s">
        <v>140</v>
      </c>
      <c r="BX180" t="s">
        <v>140</v>
      </c>
      <c r="BY180" t="s">
        <v>140</v>
      </c>
      <c r="BZ180" t="s">
        <v>140</v>
      </c>
      <c r="CA180" t="s">
        <v>140</v>
      </c>
      <c r="CB180" t="s">
        <v>140</v>
      </c>
      <c r="CC180" t="s">
        <v>140</v>
      </c>
      <c r="CD180" t="s">
        <v>140</v>
      </c>
      <c r="CE180" t="s">
        <v>140</v>
      </c>
      <c r="CF180" t="s">
        <v>140</v>
      </c>
      <c r="CG180" t="s">
        <v>140</v>
      </c>
      <c r="CH180" t="s">
        <v>140</v>
      </c>
      <c r="CI180" t="s">
        <v>140</v>
      </c>
      <c r="CJ180" t="s">
        <v>140</v>
      </c>
      <c r="CK180" t="s">
        <v>140</v>
      </c>
      <c r="CL180" t="s">
        <v>140</v>
      </c>
      <c r="CM180" t="s">
        <v>140</v>
      </c>
      <c r="CN180" t="s">
        <v>140</v>
      </c>
      <c r="CO180" t="s">
        <v>140</v>
      </c>
      <c r="CP180" t="s">
        <v>140</v>
      </c>
      <c r="CQ180" t="s">
        <v>140</v>
      </c>
      <c r="CR180" t="s">
        <v>140</v>
      </c>
      <c r="CS180" t="s">
        <v>140</v>
      </c>
      <c r="CT180" t="s">
        <v>140</v>
      </c>
      <c r="CU180" t="s">
        <v>140</v>
      </c>
      <c r="CV180" t="s">
        <v>140</v>
      </c>
      <c r="CW180" t="s">
        <v>140</v>
      </c>
      <c r="CX180" t="s">
        <v>140</v>
      </c>
      <c r="CY180" t="s">
        <v>140</v>
      </c>
      <c r="CZ180" t="s">
        <v>140</v>
      </c>
      <c r="DA180" t="s">
        <v>140</v>
      </c>
      <c r="DB180" t="s">
        <v>140</v>
      </c>
      <c r="DC180" s="1">
        <v>0</v>
      </c>
      <c r="DD180" s="1">
        <v>0</v>
      </c>
      <c r="DE180" s="1">
        <v>0</v>
      </c>
      <c r="DF180" s="1">
        <v>0</v>
      </c>
      <c r="DG180" s="1">
        <v>-184</v>
      </c>
      <c r="DH180" s="1">
        <v>-87</v>
      </c>
      <c r="DI180" s="1">
        <v>-55</v>
      </c>
      <c r="DJ180" s="1">
        <v>-593</v>
      </c>
      <c r="DK180" s="1">
        <v>-2483</v>
      </c>
      <c r="DL180" s="1">
        <v>-1530</v>
      </c>
      <c r="DM180" s="1">
        <v>-1435</v>
      </c>
      <c r="DN180" s="1">
        <v>644</v>
      </c>
      <c r="DO180" s="1">
        <v>-1405</v>
      </c>
      <c r="DP180" s="1">
        <v>-331</v>
      </c>
      <c r="DQ180" s="1">
        <v>107</v>
      </c>
      <c r="DR180" s="1">
        <v>-4717</v>
      </c>
      <c r="DS180" s="1">
        <v>-9279</v>
      </c>
      <c r="DT180" s="1">
        <v>-283</v>
      </c>
      <c r="DU180" s="1">
        <v>-2249</v>
      </c>
      <c r="DV180" s="1">
        <v>2671</v>
      </c>
      <c r="DW180" s="1">
        <v>-5398</v>
      </c>
      <c r="DX180" s="1">
        <v>13485</v>
      </c>
      <c r="DY180" s="1">
        <v>4604</v>
      </c>
      <c r="DZ180" s="1">
        <v>2171</v>
      </c>
      <c r="EA180" s="1">
        <v>-2407</v>
      </c>
      <c r="EB180" s="1">
        <v>1875</v>
      </c>
      <c r="EC180" s="1">
        <v>-7086</v>
      </c>
      <c r="ED180" s="1">
        <v>-3456</v>
      </c>
    </row>
    <row r="181" spans="1:134" x14ac:dyDescent="0.25">
      <c r="A181" t="s">
        <v>297</v>
      </c>
      <c r="B181" s="1">
        <v>0</v>
      </c>
      <c r="C181" s="1">
        <v>0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  <c r="M181" s="1">
        <v>0</v>
      </c>
      <c r="N181" t="s">
        <v>141</v>
      </c>
      <c r="O181" t="s">
        <v>140</v>
      </c>
      <c r="P181" t="s">
        <v>140</v>
      </c>
      <c r="Q181" t="s">
        <v>140</v>
      </c>
      <c r="R181" t="s">
        <v>140</v>
      </c>
      <c r="S181" t="s">
        <v>140</v>
      </c>
      <c r="T181" t="s">
        <v>140</v>
      </c>
      <c r="U181" t="s">
        <v>140</v>
      </c>
      <c r="V181" t="s">
        <v>140</v>
      </c>
      <c r="W181" t="s">
        <v>140</v>
      </c>
      <c r="X181" t="s">
        <v>140</v>
      </c>
      <c r="Y181" t="s">
        <v>140</v>
      </c>
      <c r="Z181" t="s">
        <v>140</v>
      </c>
      <c r="AA181" t="s">
        <v>140</v>
      </c>
      <c r="AB181" t="s">
        <v>140</v>
      </c>
      <c r="AC181" t="s">
        <v>140</v>
      </c>
      <c r="AD181" t="s">
        <v>140</v>
      </c>
      <c r="AE181" t="s">
        <v>140</v>
      </c>
      <c r="AF181" t="s">
        <v>140</v>
      </c>
      <c r="AG181" t="s">
        <v>140</v>
      </c>
      <c r="AH181" t="s">
        <v>140</v>
      </c>
      <c r="AI181" t="s">
        <v>140</v>
      </c>
      <c r="AJ181" t="s">
        <v>140</v>
      </c>
      <c r="AK181" t="s">
        <v>140</v>
      </c>
      <c r="AL181" t="s">
        <v>140</v>
      </c>
      <c r="AM181" t="s">
        <v>140</v>
      </c>
      <c r="AN181" t="s">
        <v>140</v>
      </c>
      <c r="AO181" t="s">
        <v>140</v>
      </c>
      <c r="AP181" t="s">
        <v>140</v>
      </c>
      <c r="AQ181" t="s">
        <v>140</v>
      </c>
      <c r="AR181" t="s">
        <v>140</v>
      </c>
      <c r="AS181" t="s">
        <v>140</v>
      </c>
      <c r="AT181" t="s">
        <v>140</v>
      </c>
      <c r="AU181" t="s">
        <v>140</v>
      </c>
      <c r="AV181" t="s">
        <v>140</v>
      </c>
      <c r="AW181" t="s">
        <v>140</v>
      </c>
      <c r="AX181" t="s">
        <v>140</v>
      </c>
      <c r="AY181" t="s">
        <v>140</v>
      </c>
      <c r="AZ181" t="s">
        <v>140</v>
      </c>
      <c r="BA181" t="s">
        <v>140</v>
      </c>
      <c r="BB181" t="s">
        <v>140</v>
      </c>
      <c r="BC181" t="s">
        <v>140</v>
      </c>
      <c r="BD181" t="s">
        <v>140</v>
      </c>
      <c r="BE181" t="s">
        <v>140</v>
      </c>
      <c r="BF181" t="s">
        <v>140</v>
      </c>
      <c r="BG181" t="s">
        <v>140</v>
      </c>
      <c r="BH181" t="s">
        <v>140</v>
      </c>
      <c r="BI181" t="s">
        <v>140</v>
      </c>
      <c r="BJ181" t="s">
        <v>140</v>
      </c>
      <c r="BK181" t="s">
        <v>140</v>
      </c>
      <c r="BL181" t="s">
        <v>140</v>
      </c>
      <c r="BM181" t="s">
        <v>140</v>
      </c>
      <c r="BN181" t="s">
        <v>140</v>
      </c>
      <c r="BO181" t="s">
        <v>140</v>
      </c>
      <c r="BP181" t="s">
        <v>140</v>
      </c>
      <c r="BQ181" t="s">
        <v>140</v>
      </c>
      <c r="BR181" t="s">
        <v>140</v>
      </c>
      <c r="BS181" t="s">
        <v>140</v>
      </c>
      <c r="BT181" t="s">
        <v>140</v>
      </c>
      <c r="BU181" t="s">
        <v>140</v>
      </c>
      <c r="BV181" t="s">
        <v>140</v>
      </c>
      <c r="BW181" t="s">
        <v>140</v>
      </c>
      <c r="BX181" t="s">
        <v>140</v>
      </c>
      <c r="BY181" t="s">
        <v>140</v>
      </c>
      <c r="BZ181" t="s">
        <v>140</v>
      </c>
      <c r="CA181" t="s">
        <v>140</v>
      </c>
      <c r="CB181" t="s">
        <v>140</v>
      </c>
      <c r="CC181" t="s">
        <v>140</v>
      </c>
      <c r="CD181" t="s">
        <v>140</v>
      </c>
      <c r="CE181" t="s">
        <v>140</v>
      </c>
      <c r="CF181" t="s">
        <v>140</v>
      </c>
      <c r="CG181" t="s">
        <v>140</v>
      </c>
      <c r="CH181" t="s">
        <v>140</v>
      </c>
      <c r="CI181" t="s">
        <v>140</v>
      </c>
      <c r="CJ181" t="s">
        <v>140</v>
      </c>
      <c r="CK181" t="s">
        <v>140</v>
      </c>
      <c r="CL181" t="s">
        <v>140</v>
      </c>
      <c r="CM181" t="s">
        <v>140</v>
      </c>
      <c r="CN181" t="s">
        <v>140</v>
      </c>
      <c r="CO181" t="s">
        <v>140</v>
      </c>
      <c r="CP181" t="s">
        <v>140</v>
      </c>
      <c r="CQ181" t="s">
        <v>140</v>
      </c>
      <c r="CR181" t="s">
        <v>140</v>
      </c>
      <c r="CS181" t="s">
        <v>140</v>
      </c>
      <c r="CT181" t="s">
        <v>140</v>
      </c>
      <c r="CU181" t="s">
        <v>140</v>
      </c>
      <c r="CV181" t="s">
        <v>140</v>
      </c>
      <c r="CW181" t="s">
        <v>140</v>
      </c>
      <c r="CX181" t="s">
        <v>140</v>
      </c>
      <c r="CY181" t="s">
        <v>140</v>
      </c>
      <c r="CZ181" t="s">
        <v>140</v>
      </c>
      <c r="DA181" t="s">
        <v>140</v>
      </c>
      <c r="DB181" t="s">
        <v>140</v>
      </c>
      <c r="DC181" s="1">
        <v>0</v>
      </c>
      <c r="DD181" s="1">
        <v>0</v>
      </c>
      <c r="DE181" s="1">
        <v>0</v>
      </c>
      <c r="DF181" s="1">
        <v>0</v>
      </c>
      <c r="DG181" s="1">
        <v>0</v>
      </c>
      <c r="DH181" s="1">
        <v>0</v>
      </c>
      <c r="DI181" s="1">
        <v>0</v>
      </c>
      <c r="DJ181" s="1">
        <v>0</v>
      </c>
      <c r="DK181" s="1">
        <v>0</v>
      </c>
      <c r="DL181" s="1">
        <v>0</v>
      </c>
      <c r="DM181" s="1">
        <v>0</v>
      </c>
      <c r="DN181" s="1">
        <v>0</v>
      </c>
      <c r="DO181" s="1">
        <v>0</v>
      </c>
      <c r="DP181" s="1">
        <v>0</v>
      </c>
      <c r="DQ181" s="1">
        <v>0</v>
      </c>
      <c r="DR181" s="1">
        <v>0</v>
      </c>
      <c r="DS181" s="1">
        <v>0</v>
      </c>
      <c r="DT181" s="1">
        <v>0</v>
      </c>
      <c r="DU181" s="1">
        <v>0</v>
      </c>
      <c r="DV181" s="1">
        <v>0</v>
      </c>
      <c r="DW181" s="1">
        <v>0</v>
      </c>
      <c r="DX181" s="1">
        <v>0</v>
      </c>
      <c r="DY181" s="1">
        <v>0</v>
      </c>
      <c r="DZ181" s="1">
        <v>0</v>
      </c>
      <c r="EA181" s="1">
        <v>0</v>
      </c>
      <c r="EB181" s="1">
        <v>0</v>
      </c>
      <c r="EC181" s="1">
        <v>0</v>
      </c>
      <c r="ED181" s="1">
        <v>0</v>
      </c>
    </row>
    <row r="182" spans="1:134" x14ac:dyDescent="0.25">
      <c r="A182" t="s">
        <v>298</v>
      </c>
      <c r="B182" s="1">
        <v>0</v>
      </c>
      <c r="C182" s="1">
        <v>0</v>
      </c>
      <c r="D182" s="1">
        <v>0</v>
      </c>
      <c r="E182" s="1">
        <v>0</v>
      </c>
      <c r="F182" s="1">
        <v>-956</v>
      </c>
      <c r="G182" s="1">
        <v>-2197</v>
      </c>
      <c r="H182" s="1">
        <v>-1697</v>
      </c>
      <c r="I182" s="1">
        <v>-4349</v>
      </c>
      <c r="J182" s="1">
        <v>-3216</v>
      </c>
      <c r="K182" s="1">
        <v>-4240</v>
      </c>
      <c r="L182" s="1">
        <v>-379</v>
      </c>
      <c r="M182" s="1">
        <v>-379</v>
      </c>
      <c r="N182" t="s">
        <v>141</v>
      </c>
      <c r="O182" t="s">
        <v>140</v>
      </c>
      <c r="P182" t="s">
        <v>140</v>
      </c>
      <c r="Q182" t="s">
        <v>140</v>
      </c>
      <c r="R182" t="s">
        <v>140</v>
      </c>
      <c r="S182" t="s">
        <v>140</v>
      </c>
      <c r="T182" t="s">
        <v>140</v>
      </c>
      <c r="U182" t="s">
        <v>140</v>
      </c>
      <c r="V182" t="s">
        <v>140</v>
      </c>
      <c r="W182" t="s">
        <v>140</v>
      </c>
      <c r="X182" t="s">
        <v>140</v>
      </c>
      <c r="Y182" t="s">
        <v>140</v>
      </c>
      <c r="Z182" t="s">
        <v>140</v>
      </c>
      <c r="AA182" t="s">
        <v>140</v>
      </c>
      <c r="AB182" t="s">
        <v>140</v>
      </c>
      <c r="AC182" t="s">
        <v>140</v>
      </c>
      <c r="AD182" t="s">
        <v>140</v>
      </c>
      <c r="AE182" t="s">
        <v>140</v>
      </c>
      <c r="AF182" t="s">
        <v>140</v>
      </c>
      <c r="AG182" t="s">
        <v>140</v>
      </c>
      <c r="AH182" t="s">
        <v>140</v>
      </c>
      <c r="AI182" t="s">
        <v>140</v>
      </c>
      <c r="AJ182" t="s">
        <v>140</v>
      </c>
      <c r="AK182" t="s">
        <v>140</v>
      </c>
      <c r="AL182" t="s">
        <v>140</v>
      </c>
      <c r="AM182" t="s">
        <v>140</v>
      </c>
      <c r="AN182" t="s">
        <v>140</v>
      </c>
      <c r="AO182" t="s">
        <v>140</v>
      </c>
      <c r="AP182" t="s">
        <v>140</v>
      </c>
      <c r="AQ182" t="s">
        <v>140</v>
      </c>
      <c r="AR182" t="s">
        <v>140</v>
      </c>
      <c r="AS182" t="s">
        <v>140</v>
      </c>
      <c r="AT182" t="s">
        <v>140</v>
      </c>
      <c r="AU182" t="s">
        <v>140</v>
      </c>
      <c r="AV182" t="s">
        <v>140</v>
      </c>
      <c r="AW182" t="s">
        <v>140</v>
      </c>
      <c r="AX182" t="s">
        <v>140</v>
      </c>
      <c r="AY182" t="s">
        <v>140</v>
      </c>
      <c r="AZ182" t="s">
        <v>140</v>
      </c>
      <c r="BA182" t="s">
        <v>140</v>
      </c>
      <c r="BB182" t="s">
        <v>140</v>
      </c>
      <c r="BC182" t="s">
        <v>140</v>
      </c>
      <c r="BD182" t="s">
        <v>140</v>
      </c>
      <c r="BE182" t="s">
        <v>140</v>
      </c>
      <c r="BF182" t="s">
        <v>140</v>
      </c>
      <c r="BG182" t="s">
        <v>140</v>
      </c>
      <c r="BH182" t="s">
        <v>140</v>
      </c>
      <c r="BI182" t="s">
        <v>140</v>
      </c>
      <c r="BJ182" t="s">
        <v>140</v>
      </c>
      <c r="BK182" t="s">
        <v>140</v>
      </c>
      <c r="BL182" t="s">
        <v>140</v>
      </c>
      <c r="BM182" t="s">
        <v>140</v>
      </c>
      <c r="BN182" t="s">
        <v>140</v>
      </c>
      <c r="BO182" t="s">
        <v>140</v>
      </c>
      <c r="BP182" t="s">
        <v>140</v>
      </c>
      <c r="BQ182" t="s">
        <v>140</v>
      </c>
      <c r="BR182" t="s">
        <v>140</v>
      </c>
      <c r="BS182" t="s">
        <v>140</v>
      </c>
      <c r="BT182" t="s">
        <v>140</v>
      </c>
      <c r="BU182" t="s">
        <v>140</v>
      </c>
      <c r="BV182" t="s">
        <v>140</v>
      </c>
      <c r="BW182" t="s">
        <v>140</v>
      </c>
      <c r="BX182" t="s">
        <v>140</v>
      </c>
      <c r="BY182" t="s">
        <v>140</v>
      </c>
      <c r="BZ182" t="s">
        <v>140</v>
      </c>
      <c r="CA182" t="s">
        <v>140</v>
      </c>
      <c r="CB182" t="s">
        <v>140</v>
      </c>
      <c r="CC182" t="s">
        <v>140</v>
      </c>
      <c r="CD182" t="s">
        <v>140</v>
      </c>
      <c r="CE182" t="s">
        <v>140</v>
      </c>
      <c r="CF182" t="s">
        <v>140</v>
      </c>
      <c r="CG182" t="s">
        <v>140</v>
      </c>
      <c r="CH182" t="s">
        <v>140</v>
      </c>
      <c r="CI182" t="s">
        <v>140</v>
      </c>
      <c r="CJ182" t="s">
        <v>140</v>
      </c>
      <c r="CK182" t="s">
        <v>140</v>
      </c>
      <c r="CL182" t="s">
        <v>140</v>
      </c>
      <c r="CM182" t="s">
        <v>140</v>
      </c>
      <c r="CN182" t="s">
        <v>140</v>
      </c>
      <c r="CO182" t="s">
        <v>140</v>
      </c>
      <c r="CP182" t="s">
        <v>140</v>
      </c>
      <c r="CQ182" t="s">
        <v>140</v>
      </c>
      <c r="CR182" t="s">
        <v>140</v>
      </c>
      <c r="CS182" t="s">
        <v>140</v>
      </c>
      <c r="CT182" t="s">
        <v>140</v>
      </c>
      <c r="CU182" t="s">
        <v>140</v>
      </c>
      <c r="CV182" t="s">
        <v>140</v>
      </c>
      <c r="CW182" t="s">
        <v>140</v>
      </c>
      <c r="CX182" t="s">
        <v>140</v>
      </c>
      <c r="CY182" t="s">
        <v>140</v>
      </c>
      <c r="CZ182" t="s">
        <v>140</v>
      </c>
      <c r="DA182" t="s">
        <v>140</v>
      </c>
      <c r="DB182" t="s">
        <v>140</v>
      </c>
      <c r="DC182" s="1">
        <v>0</v>
      </c>
      <c r="DD182" s="1">
        <v>0</v>
      </c>
      <c r="DE182" s="1">
        <v>0</v>
      </c>
      <c r="DF182" s="1">
        <v>0</v>
      </c>
      <c r="DG182" s="1">
        <v>0</v>
      </c>
      <c r="DH182" s="1">
        <v>0</v>
      </c>
      <c r="DI182" s="1">
        <v>0</v>
      </c>
      <c r="DJ182" s="1">
        <v>0</v>
      </c>
      <c r="DK182" s="1">
        <v>0</v>
      </c>
      <c r="DL182" s="1">
        <v>0</v>
      </c>
      <c r="DM182" s="1">
        <v>0</v>
      </c>
      <c r="DN182" s="1">
        <v>0</v>
      </c>
      <c r="DO182" s="1">
        <v>0</v>
      </c>
      <c r="DP182" s="1">
        <v>0</v>
      </c>
      <c r="DQ182" s="1">
        <v>-886</v>
      </c>
      <c r="DR182" s="1">
        <v>-70</v>
      </c>
      <c r="DS182" s="1">
        <v>-1782</v>
      </c>
      <c r="DT182" s="1">
        <v>-415</v>
      </c>
      <c r="DU182" s="1">
        <v>-744</v>
      </c>
      <c r="DV182" s="1">
        <v>-953</v>
      </c>
      <c r="DW182" s="1">
        <v>-928</v>
      </c>
      <c r="DX182" s="1">
        <v>-3421</v>
      </c>
      <c r="DY182" s="1">
        <v>-3007</v>
      </c>
      <c r="DZ182" s="1">
        <v>-209</v>
      </c>
      <c r="EA182" s="1">
        <v>-1138</v>
      </c>
      <c r="EB182" s="1">
        <v>-3102</v>
      </c>
      <c r="EC182" s="1">
        <v>-379</v>
      </c>
      <c r="ED182" s="1">
        <v>0</v>
      </c>
    </row>
    <row r="183" spans="1:134" x14ac:dyDescent="0.25">
      <c r="A183" t="s">
        <v>299</v>
      </c>
      <c r="B183" s="1">
        <v>0</v>
      </c>
      <c r="C183" s="1">
        <v>0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  <c r="M183" s="1">
        <v>0</v>
      </c>
      <c r="N183" t="s">
        <v>141</v>
      </c>
      <c r="O183" t="s">
        <v>140</v>
      </c>
      <c r="P183" t="s">
        <v>140</v>
      </c>
      <c r="Q183" t="s">
        <v>140</v>
      </c>
      <c r="R183" t="s">
        <v>140</v>
      </c>
      <c r="S183" t="s">
        <v>140</v>
      </c>
      <c r="T183" t="s">
        <v>140</v>
      </c>
      <c r="U183" t="s">
        <v>140</v>
      </c>
      <c r="V183" t="s">
        <v>140</v>
      </c>
      <c r="W183" t="s">
        <v>140</v>
      </c>
      <c r="X183" t="s">
        <v>140</v>
      </c>
      <c r="Y183" t="s">
        <v>140</v>
      </c>
      <c r="Z183" t="s">
        <v>140</v>
      </c>
      <c r="AA183" t="s">
        <v>140</v>
      </c>
      <c r="AB183" t="s">
        <v>140</v>
      </c>
      <c r="AC183" t="s">
        <v>140</v>
      </c>
      <c r="AD183" t="s">
        <v>140</v>
      </c>
      <c r="AE183" t="s">
        <v>140</v>
      </c>
      <c r="AF183" t="s">
        <v>140</v>
      </c>
      <c r="AG183" t="s">
        <v>140</v>
      </c>
      <c r="AH183" t="s">
        <v>140</v>
      </c>
      <c r="AI183" t="s">
        <v>140</v>
      </c>
      <c r="AJ183" t="s">
        <v>140</v>
      </c>
      <c r="AK183" t="s">
        <v>140</v>
      </c>
      <c r="AL183" t="s">
        <v>140</v>
      </c>
      <c r="AM183" t="s">
        <v>140</v>
      </c>
      <c r="AN183" t="s">
        <v>140</v>
      </c>
      <c r="AO183" t="s">
        <v>140</v>
      </c>
      <c r="AP183" t="s">
        <v>140</v>
      </c>
      <c r="AQ183" t="s">
        <v>140</v>
      </c>
      <c r="AR183" t="s">
        <v>140</v>
      </c>
      <c r="AS183" t="s">
        <v>140</v>
      </c>
      <c r="AT183" t="s">
        <v>140</v>
      </c>
      <c r="AU183" t="s">
        <v>140</v>
      </c>
      <c r="AV183" t="s">
        <v>140</v>
      </c>
      <c r="AW183" t="s">
        <v>140</v>
      </c>
      <c r="AX183" t="s">
        <v>140</v>
      </c>
      <c r="AY183" t="s">
        <v>140</v>
      </c>
      <c r="AZ183" t="s">
        <v>140</v>
      </c>
      <c r="BA183" t="s">
        <v>140</v>
      </c>
      <c r="BB183" t="s">
        <v>140</v>
      </c>
      <c r="BC183" t="s">
        <v>140</v>
      </c>
      <c r="BD183" t="s">
        <v>140</v>
      </c>
      <c r="BE183" t="s">
        <v>140</v>
      </c>
      <c r="BF183" t="s">
        <v>140</v>
      </c>
      <c r="BG183" t="s">
        <v>140</v>
      </c>
      <c r="BH183" t="s">
        <v>140</v>
      </c>
      <c r="BI183" t="s">
        <v>140</v>
      </c>
      <c r="BJ183" t="s">
        <v>140</v>
      </c>
      <c r="BK183" t="s">
        <v>140</v>
      </c>
      <c r="BL183" t="s">
        <v>140</v>
      </c>
      <c r="BM183" t="s">
        <v>140</v>
      </c>
      <c r="BN183" t="s">
        <v>140</v>
      </c>
      <c r="BO183" t="s">
        <v>140</v>
      </c>
      <c r="BP183" t="s">
        <v>140</v>
      </c>
      <c r="BQ183" t="s">
        <v>140</v>
      </c>
      <c r="BR183" t="s">
        <v>140</v>
      </c>
      <c r="BS183" t="s">
        <v>140</v>
      </c>
      <c r="BT183" t="s">
        <v>140</v>
      </c>
      <c r="BU183" t="s">
        <v>140</v>
      </c>
      <c r="BV183" t="s">
        <v>140</v>
      </c>
      <c r="BW183" t="s">
        <v>140</v>
      </c>
      <c r="BX183" t="s">
        <v>140</v>
      </c>
      <c r="BY183" t="s">
        <v>140</v>
      </c>
      <c r="BZ183" t="s">
        <v>140</v>
      </c>
      <c r="CA183" t="s">
        <v>140</v>
      </c>
      <c r="CB183" t="s">
        <v>140</v>
      </c>
      <c r="CC183" t="s">
        <v>140</v>
      </c>
      <c r="CD183" t="s">
        <v>140</v>
      </c>
      <c r="CE183" t="s">
        <v>140</v>
      </c>
      <c r="CF183" t="s">
        <v>140</v>
      </c>
      <c r="CG183" t="s">
        <v>140</v>
      </c>
      <c r="CH183" t="s">
        <v>140</v>
      </c>
      <c r="CI183" t="s">
        <v>140</v>
      </c>
      <c r="CJ183" t="s">
        <v>140</v>
      </c>
      <c r="CK183" t="s">
        <v>140</v>
      </c>
      <c r="CL183" t="s">
        <v>140</v>
      </c>
      <c r="CM183" t="s">
        <v>140</v>
      </c>
      <c r="CN183" t="s">
        <v>140</v>
      </c>
      <c r="CO183" t="s">
        <v>140</v>
      </c>
      <c r="CP183" t="s">
        <v>140</v>
      </c>
      <c r="CQ183" t="s">
        <v>140</v>
      </c>
      <c r="CR183" t="s">
        <v>140</v>
      </c>
      <c r="CS183" t="s">
        <v>140</v>
      </c>
      <c r="CT183" t="s">
        <v>140</v>
      </c>
      <c r="CU183" t="s">
        <v>140</v>
      </c>
      <c r="CV183" t="s">
        <v>140</v>
      </c>
      <c r="CW183" t="s">
        <v>140</v>
      </c>
      <c r="CX183" t="s">
        <v>140</v>
      </c>
      <c r="CY183" t="s">
        <v>140</v>
      </c>
      <c r="CZ183" t="s">
        <v>140</v>
      </c>
      <c r="DA183" t="s">
        <v>140</v>
      </c>
      <c r="DB183" t="s">
        <v>140</v>
      </c>
      <c r="DC183" s="1">
        <v>0</v>
      </c>
      <c r="DD183" s="1">
        <v>0</v>
      </c>
      <c r="DE183" s="1">
        <v>0</v>
      </c>
      <c r="DF183" s="1">
        <v>0</v>
      </c>
      <c r="DG183" s="1">
        <v>0</v>
      </c>
      <c r="DH183" s="1">
        <v>0</v>
      </c>
      <c r="DI183" s="1">
        <v>0</v>
      </c>
      <c r="DJ183" s="1">
        <v>0</v>
      </c>
      <c r="DK183" s="1">
        <v>0</v>
      </c>
      <c r="DL183" s="1">
        <v>0</v>
      </c>
      <c r="DM183" s="1">
        <v>0</v>
      </c>
      <c r="DN183" s="1">
        <v>0</v>
      </c>
      <c r="DO183" s="1">
        <v>0</v>
      </c>
      <c r="DP183" s="1">
        <v>0</v>
      </c>
      <c r="DQ183" s="1">
        <v>0</v>
      </c>
      <c r="DR183" s="1">
        <v>0</v>
      </c>
      <c r="DS183" s="1">
        <v>0</v>
      </c>
      <c r="DT183" s="1">
        <v>0</v>
      </c>
      <c r="DU183" s="1">
        <v>0</v>
      </c>
      <c r="DV183" s="1">
        <v>0</v>
      </c>
      <c r="DW183" s="1">
        <v>0</v>
      </c>
      <c r="DX183" s="1">
        <v>0</v>
      </c>
      <c r="DY183" s="1">
        <v>0</v>
      </c>
      <c r="DZ183" s="1">
        <v>0</v>
      </c>
      <c r="EA183" s="1">
        <v>0</v>
      </c>
      <c r="EB183" s="1">
        <v>0</v>
      </c>
      <c r="EC183" s="1">
        <v>0</v>
      </c>
      <c r="ED183" s="1">
        <v>0</v>
      </c>
    </row>
    <row r="184" spans="1:134" x14ac:dyDescent="0.25">
      <c r="A184" t="s">
        <v>300</v>
      </c>
      <c r="B184" s="1">
        <v>4682</v>
      </c>
      <c r="C184" s="1">
        <v>14345</v>
      </c>
      <c r="D184" s="1">
        <v>5424</v>
      </c>
      <c r="E184" s="1">
        <v>2233</v>
      </c>
      <c r="F184" s="1">
        <v>10217</v>
      </c>
      <c r="G184" s="1">
        <v>20587</v>
      </c>
      <c r="H184" s="1">
        <v>24400</v>
      </c>
      <c r="I184" s="1">
        <v>19585</v>
      </c>
      <c r="J184" s="1">
        <v>14804</v>
      </c>
      <c r="K184" s="1">
        <v>25603</v>
      </c>
      <c r="L184" s="1">
        <v>20627</v>
      </c>
      <c r="M184" s="1">
        <v>20627</v>
      </c>
      <c r="N184" t="s">
        <v>141</v>
      </c>
      <c r="O184" t="s">
        <v>140</v>
      </c>
      <c r="P184" t="s">
        <v>140</v>
      </c>
      <c r="Q184" t="s">
        <v>140</v>
      </c>
      <c r="R184" t="s">
        <v>140</v>
      </c>
      <c r="S184" t="s">
        <v>140</v>
      </c>
      <c r="T184" t="s">
        <v>140</v>
      </c>
      <c r="U184" t="s">
        <v>140</v>
      </c>
      <c r="V184" t="s">
        <v>140</v>
      </c>
      <c r="W184" t="s">
        <v>140</v>
      </c>
      <c r="X184" t="s">
        <v>140</v>
      </c>
      <c r="Y184" t="s">
        <v>140</v>
      </c>
      <c r="Z184" t="s">
        <v>140</v>
      </c>
      <c r="AA184" t="s">
        <v>140</v>
      </c>
      <c r="AB184" t="s">
        <v>140</v>
      </c>
      <c r="AC184" t="s">
        <v>140</v>
      </c>
      <c r="AD184" t="s">
        <v>140</v>
      </c>
      <c r="AE184" t="s">
        <v>140</v>
      </c>
      <c r="AF184" t="s">
        <v>140</v>
      </c>
      <c r="AG184" t="s">
        <v>140</v>
      </c>
      <c r="AH184" t="s">
        <v>140</v>
      </c>
      <c r="AI184" t="s">
        <v>140</v>
      </c>
      <c r="AJ184" t="s">
        <v>140</v>
      </c>
      <c r="AK184" t="s">
        <v>140</v>
      </c>
      <c r="AL184" t="s">
        <v>140</v>
      </c>
      <c r="AM184" t="s">
        <v>140</v>
      </c>
      <c r="AN184" t="s">
        <v>140</v>
      </c>
      <c r="AO184" t="s">
        <v>140</v>
      </c>
      <c r="AP184" t="s">
        <v>140</v>
      </c>
      <c r="AQ184" t="s">
        <v>140</v>
      </c>
      <c r="AR184" t="s">
        <v>140</v>
      </c>
      <c r="AS184" t="s">
        <v>140</v>
      </c>
      <c r="AT184" t="s">
        <v>140</v>
      </c>
      <c r="AU184" t="s">
        <v>140</v>
      </c>
      <c r="AV184" t="s">
        <v>140</v>
      </c>
      <c r="AW184" t="s">
        <v>140</v>
      </c>
      <c r="AX184" t="s">
        <v>140</v>
      </c>
      <c r="AY184" t="s">
        <v>140</v>
      </c>
      <c r="AZ184" t="s">
        <v>140</v>
      </c>
      <c r="BA184" t="s">
        <v>140</v>
      </c>
      <c r="BB184" t="s">
        <v>140</v>
      </c>
      <c r="BC184" t="s">
        <v>140</v>
      </c>
      <c r="BD184" t="s">
        <v>140</v>
      </c>
      <c r="BE184" t="s">
        <v>140</v>
      </c>
      <c r="BF184" t="s">
        <v>140</v>
      </c>
      <c r="BG184" t="s">
        <v>140</v>
      </c>
      <c r="BH184" t="s">
        <v>140</v>
      </c>
      <c r="BI184" t="s">
        <v>140</v>
      </c>
      <c r="BJ184" t="s">
        <v>140</v>
      </c>
      <c r="BK184" t="s">
        <v>140</v>
      </c>
      <c r="BL184" t="s">
        <v>140</v>
      </c>
      <c r="BM184" t="s">
        <v>140</v>
      </c>
      <c r="BN184" t="s">
        <v>140</v>
      </c>
      <c r="BO184" t="s">
        <v>140</v>
      </c>
      <c r="BP184" t="s">
        <v>140</v>
      </c>
      <c r="BQ184" t="s">
        <v>140</v>
      </c>
      <c r="BR184" t="s">
        <v>140</v>
      </c>
      <c r="BS184" t="s">
        <v>140</v>
      </c>
      <c r="BT184" t="s">
        <v>140</v>
      </c>
      <c r="BU184" t="s">
        <v>140</v>
      </c>
      <c r="BV184" t="s">
        <v>140</v>
      </c>
      <c r="BW184" t="s">
        <v>140</v>
      </c>
      <c r="BX184" t="s">
        <v>140</v>
      </c>
      <c r="BY184" t="s">
        <v>140</v>
      </c>
      <c r="BZ184" t="s">
        <v>140</v>
      </c>
      <c r="CA184" t="s">
        <v>140</v>
      </c>
      <c r="CB184" t="s">
        <v>140</v>
      </c>
      <c r="CC184" t="s">
        <v>140</v>
      </c>
      <c r="CD184" t="s">
        <v>140</v>
      </c>
      <c r="CE184" t="s">
        <v>140</v>
      </c>
      <c r="CF184" t="s">
        <v>140</v>
      </c>
      <c r="CG184" t="s">
        <v>140</v>
      </c>
      <c r="CH184" t="s">
        <v>140</v>
      </c>
      <c r="CI184" t="s">
        <v>140</v>
      </c>
      <c r="CJ184" t="s">
        <v>140</v>
      </c>
      <c r="CK184" t="s">
        <v>140</v>
      </c>
      <c r="CL184" t="s">
        <v>140</v>
      </c>
      <c r="CM184" t="s">
        <v>140</v>
      </c>
      <c r="CN184" t="s">
        <v>140</v>
      </c>
      <c r="CO184" t="s">
        <v>140</v>
      </c>
      <c r="CP184" t="s">
        <v>140</v>
      </c>
      <c r="CQ184" t="s">
        <v>140</v>
      </c>
      <c r="CR184" t="s">
        <v>140</v>
      </c>
      <c r="CS184" t="s">
        <v>140</v>
      </c>
      <c r="CT184" t="s">
        <v>140</v>
      </c>
      <c r="CU184" t="s">
        <v>140</v>
      </c>
      <c r="CV184" t="s">
        <v>140</v>
      </c>
      <c r="CW184" t="s">
        <v>140</v>
      </c>
      <c r="CX184" t="s">
        <v>140</v>
      </c>
      <c r="CY184" t="s">
        <v>140</v>
      </c>
      <c r="CZ184" t="s">
        <v>140</v>
      </c>
      <c r="DA184" t="s">
        <v>140</v>
      </c>
      <c r="DB184" t="s">
        <v>140</v>
      </c>
      <c r="DC184" s="1">
        <v>0</v>
      </c>
      <c r="DD184" s="1">
        <v>0</v>
      </c>
      <c r="DE184" s="1">
        <v>0</v>
      </c>
      <c r="DF184" s="1">
        <v>0</v>
      </c>
      <c r="DG184" s="1">
        <v>6559</v>
      </c>
      <c r="DH184" s="1">
        <v>1848</v>
      </c>
      <c r="DI184" s="1">
        <v>2492</v>
      </c>
      <c r="DJ184" s="1">
        <v>2190</v>
      </c>
      <c r="DK184" s="1">
        <v>6597</v>
      </c>
      <c r="DL184" s="1">
        <v>7748</v>
      </c>
      <c r="DM184" s="1">
        <v>4127</v>
      </c>
      <c r="DN184" s="1">
        <v>1297</v>
      </c>
      <c r="DO184" s="1">
        <v>341</v>
      </c>
      <c r="DP184" s="1">
        <v>1892</v>
      </c>
      <c r="DQ184" s="1">
        <v>4585</v>
      </c>
      <c r="DR184" s="1">
        <v>5632</v>
      </c>
      <c r="DS184" s="1">
        <v>29264</v>
      </c>
      <c r="DT184" s="1">
        <v>-8677</v>
      </c>
      <c r="DU184" s="1">
        <v>18209</v>
      </c>
      <c r="DV184" s="1">
        <v>6191</v>
      </c>
      <c r="DW184" s="1">
        <v>9865</v>
      </c>
      <c r="DX184" s="1">
        <v>9720</v>
      </c>
      <c r="DY184" s="1">
        <v>4877</v>
      </c>
      <c r="DZ184" s="1">
        <v>9927</v>
      </c>
      <c r="EA184" s="1">
        <v>11893</v>
      </c>
      <c r="EB184" s="1">
        <v>13710</v>
      </c>
      <c r="EC184" s="1">
        <v>13325</v>
      </c>
      <c r="ED184" s="1">
        <v>7302</v>
      </c>
    </row>
    <row r="185" spans="1:134" x14ac:dyDescent="0.25">
      <c r="A185" t="s">
        <v>301</v>
      </c>
      <c r="B185" s="1">
        <v>-5230</v>
      </c>
      <c r="C185" s="1">
        <v>-12290</v>
      </c>
      <c r="D185" s="1">
        <v>-4530</v>
      </c>
      <c r="E185" s="1">
        <v>-3050</v>
      </c>
      <c r="F185" s="1">
        <v>-5780</v>
      </c>
      <c r="G185" s="1">
        <v>-11488</v>
      </c>
      <c r="H185" s="1">
        <v>-23472</v>
      </c>
      <c r="I185" s="1">
        <v>-21345</v>
      </c>
      <c r="J185" s="1">
        <v>-19124</v>
      </c>
      <c r="K185" s="1">
        <v>-15474</v>
      </c>
      <c r="L185" s="1">
        <v>-17458</v>
      </c>
      <c r="M185" s="1">
        <v>-17458</v>
      </c>
      <c r="N185" t="s">
        <v>141</v>
      </c>
      <c r="O185" t="s">
        <v>140</v>
      </c>
      <c r="P185" t="s">
        <v>140</v>
      </c>
      <c r="Q185" t="s">
        <v>140</v>
      </c>
      <c r="R185" t="s">
        <v>140</v>
      </c>
      <c r="S185" t="s">
        <v>140</v>
      </c>
      <c r="T185" t="s">
        <v>140</v>
      </c>
      <c r="U185" t="s">
        <v>140</v>
      </c>
      <c r="V185" t="s">
        <v>140</v>
      </c>
      <c r="W185" t="s">
        <v>140</v>
      </c>
      <c r="X185" t="s">
        <v>140</v>
      </c>
      <c r="Y185" t="s">
        <v>140</v>
      </c>
      <c r="Z185" t="s">
        <v>140</v>
      </c>
      <c r="AA185" t="s">
        <v>140</v>
      </c>
      <c r="AB185" t="s">
        <v>140</v>
      </c>
      <c r="AC185" t="s">
        <v>140</v>
      </c>
      <c r="AD185" t="s">
        <v>140</v>
      </c>
      <c r="AE185" t="s">
        <v>140</v>
      </c>
      <c r="AF185" t="s">
        <v>140</v>
      </c>
      <c r="AG185" t="s">
        <v>140</v>
      </c>
      <c r="AH185" t="s">
        <v>140</v>
      </c>
      <c r="AI185" t="s">
        <v>140</v>
      </c>
      <c r="AJ185" t="s">
        <v>140</v>
      </c>
      <c r="AK185" t="s">
        <v>140</v>
      </c>
      <c r="AL185" t="s">
        <v>140</v>
      </c>
      <c r="AM185" t="s">
        <v>140</v>
      </c>
      <c r="AN185" t="s">
        <v>140</v>
      </c>
      <c r="AO185" t="s">
        <v>140</v>
      </c>
      <c r="AP185" t="s">
        <v>140</v>
      </c>
      <c r="AQ185" t="s">
        <v>140</v>
      </c>
      <c r="AR185" t="s">
        <v>140</v>
      </c>
      <c r="AS185" t="s">
        <v>140</v>
      </c>
      <c r="AT185" t="s">
        <v>140</v>
      </c>
      <c r="AU185" t="s">
        <v>140</v>
      </c>
      <c r="AV185" t="s">
        <v>140</v>
      </c>
      <c r="AW185" t="s">
        <v>140</v>
      </c>
      <c r="AX185" t="s">
        <v>140</v>
      </c>
      <c r="AY185" t="s">
        <v>140</v>
      </c>
      <c r="AZ185" t="s">
        <v>140</v>
      </c>
      <c r="BA185" t="s">
        <v>140</v>
      </c>
      <c r="BB185" t="s">
        <v>140</v>
      </c>
      <c r="BC185" t="s">
        <v>140</v>
      </c>
      <c r="BD185" t="s">
        <v>140</v>
      </c>
      <c r="BE185" t="s">
        <v>140</v>
      </c>
      <c r="BF185" t="s">
        <v>140</v>
      </c>
      <c r="BG185" t="s">
        <v>140</v>
      </c>
      <c r="BH185" t="s">
        <v>140</v>
      </c>
      <c r="BI185" t="s">
        <v>140</v>
      </c>
      <c r="BJ185" t="s">
        <v>140</v>
      </c>
      <c r="BK185" t="s">
        <v>140</v>
      </c>
      <c r="BL185" t="s">
        <v>140</v>
      </c>
      <c r="BM185" t="s">
        <v>140</v>
      </c>
      <c r="BN185" t="s">
        <v>140</v>
      </c>
      <c r="BO185" t="s">
        <v>140</v>
      </c>
      <c r="BP185" t="s">
        <v>140</v>
      </c>
      <c r="BQ185" t="s">
        <v>140</v>
      </c>
      <c r="BR185" t="s">
        <v>140</v>
      </c>
      <c r="BS185" t="s">
        <v>140</v>
      </c>
      <c r="BT185" t="s">
        <v>140</v>
      </c>
      <c r="BU185" t="s">
        <v>140</v>
      </c>
      <c r="BV185" t="s">
        <v>140</v>
      </c>
      <c r="BW185" t="s">
        <v>140</v>
      </c>
      <c r="BX185" t="s">
        <v>140</v>
      </c>
      <c r="BY185" t="s">
        <v>140</v>
      </c>
      <c r="BZ185" t="s">
        <v>140</v>
      </c>
      <c r="CA185" t="s">
        <v>140</v>
      </c>
      <c r="CB185" t="s">
        <v>140</v>
      </c>
      <c r="CC185" t="s">
        <v>140</v>
      </c>
      <c r="CD185" t="s">
        <v>140</v>
      </c>
      <c r="CE185" t="s">
        <v>140</v>
      </c>
      <c r="CF185" t="s">
        <v>140</v>
      </c>
      <c r="CG185" t="s">
        <v>140</v>
      </c>
      <c r="CH185" t="s">
        <v>140</v>
      </c>
      <c r="CI185" t="s">
        <v>140</v>
      </c>
      <c r="CJ185" t="s">
        <v>140</v>
      </c>
      <c r="CK185" t="s">
        <v>140</v>
      </c>
      <c r="CL185" t="s">
        <v>140</v>
      </c>
      <c r="CM185" t="s">
        <v>140</v>
      </c>
      <c r="CN185" t="s">
        <v>140</v>
      </c>
      <c r="CO185" t="s">
        <v>140</v>
      </c>
      <c r="CP185" t="s">
        <v>140</v>
      </c>
      <c r="CQ185" t="s">
        <v>140</v>
      </c>
      <c r="CR185" t="s">
        <v>140</v>
      </c>
      <c r="CS185" t="s">
        <v>140</v>
      </c>
      <c r="CT185" t="s">
        <v>140</v>
      </c>
      <c r="CU185" t="s">
        <v>140</v>
      </c>
      <c r="CV185" t="s">
        <v>140</v>
      </c>
      <c r="CW185" t="s">
        <v>140</v>
      </c>
      <c r="CX185" t="s">
        <v>140</v>
      </c>
      <c r="CY185" t="s">
        <v>140</v>
      </c>
      <c r="CZ185" t="s">
        <v>140</v>
      </c>
      <c r="DA185" t="s">
        <v>140</v>
      </c>
      <c r="DB185" t="s">
        <v>140</v>
      </c>
      <c r="DC185" s="1">
        <v>0</v>
      </c>
      <c r="DD185" s="1">
        <v>0</v>
      </c>
      <c r="DE185" s="1">
        <v>0</v>
      </c>
      <c r="DF185" s="1">
        <v>0</v>
      </c>
      <c r="DG185" s="1">
        <v>-7100</v>
      </c>
      <c r="DH185" s="1">
        <v>-2000</v>
      </c>
      <c r="DI185" s="1">
        <v>-2730</v>
      </c>
      <c r="DJ185" s="1">
        <v>-2500</v>
      </c>
      <c r="DK185" s="1">
        <v>-4520</v>
      </c>
      <c r="DL185" s="1">
        <v>-7770</v>
      </c>
      <c r="DM185" s="1">
        <v>-3730</v>
      </c>
      <c r="DN185" s="1">
        <v>-800</v>
      </c>
      <c r="DO185" s="1">
        <v>-1650</v>
      </c>
      <c r="DP185" s="1">
        <v>-1400</v>
      </c>
      <c r="DQ185" s="1">
        <v>-2800</v>
      </c>
      <c r="DR185" s="1">
        <v>-2980</v>
      </c>
      <c r="DS185" s="1">
        <v>-20408</v>
      </c>
      <c r="DT185" s="1">
        <v>8920</v>
      </c>
      <c r="DU185" s="1">
        <v>-15532</v>
      </c>
      <c r="DV185" s="1">
        <v>-7940</v>
      </c>
      <c r="DW185" s="1">
        <v>-4105</v>
      </c>
      <c r="DX185" s="1">
        <v>-17240</v>
      </c>
      <c r="DY185" s="1">
        <v>-8432</v>
      </c>
      <c r="DZ185" s="1">
        <v>-10692</v>
      </c>
      <c r="EA185" s="1">
        <v>-8523</v>
      </c>
      <c r="EB185" s="1">
        <v>-6951</v>
      </c>
      <c r="EC185" s="1">
        <v>-12345</v>
      </c>
      <c r="ED185" s="1">
        <v>-5113</v>
      </c>
    </row>
    <row r="186" spans="1:134" x14ac:dyDescent="0.25">
      <c r="A186" t="s">
        <v>302</v>
      </c>
      <c r="B186" s="1">
        <v>-548</v>
      </c>
      <c r="C186" s="1">
        <v>2055</v>
      </c>
      <c r="D186" s="1">
        <v>894</v>
      </c>
      <c r="E186" s="1">
        <v>-817</v>
      </c>
      <c r="F186" s="1">
        <v>4437</v>
      </c>
      <c r="G186" s="1">
        <v>9099</v>
      </c>
      <c r="H186" s="1">
        <v>928</v>
      </c>
      <c r="I186" s="1">
        <v>-1760</v>
      </c>
      <c r="J186" s="1">
        <v>-4320</v>
      </c>
      <c r="K186" s="1">
        <v>10129</v>
      </c>
      <c r="L186" s="1">
        <v>3169</v>
      </c>
      <c r="M186" s="1">
        <v>3169</v>
      </c>
      <c r="N186" t="s">
        <v>141</v>
      </c>
      <c r="O186" t="s">
        <v>140</v>
      </c>
      <c r="P186" t="s">
        <v>140</v>
      </c>
      <c r="Q186" t="s">
        <v>140</v>
      </c>
      <c r="R186" t="s">
        <v>140</v>
      </c>
      <c r="S186" t="s">
        <v>140</v>
      </c>
      <c r="T186" t="s">
        <v>140</v>
      </c>
      <c r="U186" t="s">
        <v>140</v>
      </c>
      <c r="V186" t="s">
        <v>140</v>
      </c>
      <c r="W186" t="s">
        <v>140</v>
      </c>
      <c r="X186" t="s">
        <v>140</v>
      </c>
      <c r="Y186" t="s">
        <v>140</v>
      </c>
      <c r="Z186" t="s">
        <v>140</v>
      </c>
      <c r="AA186" t="s">
        <v>140</v>
      </c>
      <c r="AB186" t="s">
        <v>140</v>
      </c>
      <c r="AC186" t="s">
        <v>140</v>
      </c>
      <c r="AD186" t="s">
        <v>140</v>
      </c>
      <c r="AE186" t="s">
        <v>140</v>
      </c>
      <c r="AF186" t="s">
        <v>140</v>
      </c>
      <c r="AG186" t="s">
        <v>140</v>
      </c>
      <c r="AH186" t="s">
        <v>140</v>
      </c>
      <c r="AI186" t="s">
        <v>140</v>
      </c>
      <c r="AJ186" t="s">
        <v>140</v>
      </c>
      <c r="AK186" t="s">
        <v>140</v>
      </c>
      <c r="AL186" t="s">
        <v>140</v>
      </c>
      <c r="AM186" t="s">
        <v>140</v>
      </c>
      <c r="AN186" t="s">
        <v>140</v>
      </c>
      <c r="AO186" t="s">
        <v>140</v>
      </c>
      <c r="AP186" t="s">
        <v>140</v>
      </c>
      <c r="AQ186" t="s">
        <v>140</v>
      </c>
      <c r="AR186" t="s">
        <v>140</v>
      </c>
      <c r="AS186" t="s">
        <v>140</v>
      </c>
      <c r="AT186" t="s">
        <v>140</v>
      </c>
      <c r="AU186" t="s">
        <v>140</v>
      </c>
      <c r="AV186" t="s">
        <v>140</v>
      </c>
      <c r="AW186" t="s">
        <v>140</v>
      </c>
      <c r="AX186" t="s">
        <v>140</v>
      </c>
      <c r="AY186" t="s">
        <v>140</v>
      </c>
      <c r="AZ186" t="s">
        <v>140</v>
      </c>
      <c r="BA186" t="s">
        <v>140</v>
      </c>
      <c r="BB186" t="s">
        <v>140</v>
      </c>
      <c r="BC186" t="s">
        <v>140</v>
      </c>
      <c r="BD186" t="s">
        <v>140</v>
      </c>
      <c r="BE186" t="s">
        <v>140</v>
      </c>
      <c r="BF186" t="s">
        <v>140</v>
      </c>
      <c r="BG186" t="s">
        <v>140</v>
      </c>
      <c r="BH186" t="s">
        <v>140</v>
      </c>
      <c r="BI186" t="s">
        <v>140</v>
      </c>
      <c r="BJ186" t="s">
        <v>140</v>
      </c>
      <c r="BK186" t="s">
        <v>140</v>
      </c>
      <c r="BL186" t="s">
        <v>140</v>
      </c>
      <c r="BM186" t="s">
        <v>140</v>
      </c>
      <c r="BN186" t="s">
        <v>140</v>
      </c>
      <c r="BO186" t="s">
        <v>140</v>
      </c>
      <c r="BP186" t="s">
        <v>140</v>
      </c>
      <c r="BQ186" t="s">
        <v>140</v>
      </c>
      <c r="BR186" t="s">
        <v>140</v>
      </c>
      <c r="BS186" t="s">
        <v>140</v>
      </c>
      <c r="BT186" t="s">
        <v>140</v>
      </c>
      <c r="BU186" t="s">
        <v>140</v>
      </c>
      <c r="BV186" t="s">
        <v>140</v>
      </c>
      <c r="BW186" t="s">
        <v>140</v>
      </c>
      <c r="BX186" t="s">
        <v>140</v>
      </c>
      <c r="BY186" t="s">
        <v>140</v>
      </c>
      <c r="BZ186" t="s">
        <v>140</v>
      </c>
      <c r="CA186" t="s">
        <v>140</v>
      </c>
      <c r="CB186" t="s">
        <v>140</v>
      </c>
      <c r="CC186" t="s">
        <v>140</v>
      </c>
      <c r="CD186" t="s">
        <v>140</v>
      </c>
      <c r="CE186" t="s">
        <v>140</v>
      </c>
      <c r="CF186" t="s">
        <v>140</v>
      </c>
      <c r="CG186" t="s">
        <v>140</v>
      </c>
      <c r="CH186" t="s">
        <v>140</v>
      </c>
      <c r="CI186" t="s">
        <v>140</v>
      </c>
      <c r="CJ186" t="s">
        <v>140</v>
      </c>
      <c r="CK186" t="s">
        <v>140</v>
      </c>
      <c r="CL186" t="s">
        <v>140</v>
      </c>
      <c r="CM186" t="s">
        <v>140</v>
      </c>
      <c r="CN186" t="s">
        <v>140</v>
      </c>
      <c r="CO186" t="s">
        <v>140</v>
      </c>
      <c r="CP186" t="s">
        <v>140</v>
      </c>
      <c r="CQ186" t="s">
        <v>140</v>
      </c>
      <c r="CR186" t="s">
        <v>140</v>
      </c>
      <c r="CS186" t="s">
        <v>140</v>
      </c>
      <c r="CT186" t="s">
        <v>140</v>
      </c>
      <c r="CU186" t="s">
        <v>140</v>
      </c>
      <c r="CV186" t="s">
        <v>140</v>
      </c>
      <c r="CW186" t="s">
        <v>140</v>
      </c>
      <c r="CX186" t="s">
        <v>140</v>
      </c>
      <c r="CY186" t="s">
        <v>140</v>
      </c>
      <c r="CZ186" t="s">
        <v>140</v>
      </c>
      <c r="DA186" t="s">
        <v>140</v>
      </c>
      <c r="DB186" t="s">
        <v>140</v>
      </c>
      <c r="DC186" s="1">
        <v>0</v>
      </c>
      <c r="DD186" s="1">
        <v>0</v>
      </c>
      <c r="DE186" s="1">
        <v>0</v>
      </c>
      <c r="DF186" s="1">
        <v>0</v>
      </c>
      <c r="DG186" s="1">
        <v>-541</v>
      </c>
      <c r="DH186" s="1">
        <v>-152</v>
      </c>
      <c r="DI186" s="1">
        <v>-238</v>
      </c>
      <c r="DJ186" s="1">
        <v>-310</v>
      </c>
      <c r="DK186" s="1">
        <v>2077</v>
      </c>
      <c r="DL186" s="1">
        <v>-22</v>
      </c>
      <c r="DM186" s="1">
        <v>397</v>
      </c>
      <c r="DN186" s="1">
        <v>497</v>
      </c>
      <c r="DO186" s="1">
        <v>-1309</v>
      </c>
      <c r="DP186" s="1">
        <v>492</v>
      </c>
      <c r="DQ186" s="1">
        <v>1785</v>
      </c>
      <c r="DR186" s="1">
        <v>2652</v>
      </c>
      <c r="DS186" s="1">
        <v>8856</v>
      </c>
      <c r="DT186" s="1">
        <v>243</v>
      </c>
      <c r="DU186" s="1">
        <v>2677</v>
      </c>
      <c r="DV186" s="1">
        <v>-1749</v>
      </c>
      <c r="DW186" s="1">
        <v>5760</v>
      </c>
      <c r="DX186" s="1">
        <v>-7520</v>
      </c>
      <c r="DY186" s="1">
        <v>-3555</v>
      </c>
      <c r="DZ186" s="1">
        <v>-765</v>
      </c>
      <c r="EA186" s="1">
        <v>3370</v>
      </c>
      <c r="EB186" s="1">
        <v>6759</v>
      </c>
      <c r="EC186" s="1">
        <v>980</v>
      </c>
      <c r="ED186" s="1">
        <v>2189</v>
      </c>
    </row>
    <row r="187" spans="1:134" x14ac:dyDescent="0.25">
      <c r="A187" t="s">
        <v>303</v>
      </c>
      <c r="B187" s="1">
        <v>-1626</v>
      </c>
      <c r="C187" s="1">
        <v>-1932</v>
      </c>
      <c r="D187" s="1">
        <v>-2344</v>
      </c>
      <c r="E187" s="1">
        <v>-2800</v>
      </c>
      <c r="F187" s="1">
        <v>-4030</v>
      </c>
      <c r="G187" s="1">
        <v>-4368</v>
      </c>
      <c r="H187" s="1">
        <v>-4898</v>
      </c>
      <c r="I187" s="1">
        <v>-5254</v>
      </c>
      <c r="J187" s="1">
        <v>-5517</v>
      </c>
      <c r="K187" s="1">
        <v>-5930</v>
      </c>
      <c r="L187" s="1">
        <v>-3966</v>
      </c>
      <c r="M187" s="1">
        <v>-3966</v>
      </c>
      <c r="N187" t="s">
        <v>141</v>
      </c>
      <c r="O187" t="s">
        <v>140</v>
      </c>
      <c r="P187" t="s">
        <v>140</v>
      </c>
      <c r="Q187" t="s">
        <v>140</v>
      </c>
      <c r="R187" t="s">
        <v>140</v>
      </c>
      <c r="S187" t="s">
        <v>140</v>
      </c>
      <c r="T187" t="s">
        <v>140</v>
      </c>
      <c r="U187" t="s">
        <v>140</v>
      </c>
      <c r="V187" t="s">
        <v>140</v>
      </c>
      <c r="W187" t="s">
        <v>140</v>
      </c>
      <c r="X187" t="s">
        <v>140</v>
      </c>
      <c r="Y187" t="s">
        <v>140</v>
      </c>
      <c r="Z187" t="s">
        <v>140</v>
      </c>
      <c r="AA187" t="s">
        <v>140</v>
      </c>
      <c r="AB187" t="s">
        <v>140</v>
      </c>
      <c r="AC187" t="s">
        <v>140</v>
      </c>
      <c r="AD187" t="s">
        <v>140</v>
      </c>
      <c r="AE187" t="s">
        <v>140</v>
      </c>
      <c r="AF187" t="s">
        <v>140</v>
      </c>
      <c r="AG187" t="s">
        <v>140</v>
      </c>
      <c r="AH187" t="s">
        <v>140</v>
      </c>
      <c r="AI187" t="s">
        <v>140</v>
      </c>
      <c r="AJ187" t="s">
        <v>140</v>
      </c>
      <c r="AK187" t="s">
        <v>140</v>
      </c>
      <c r="AL187" t="s">
        <v>140</v>
      </c>
      <c r="AM187" t="s">
        <v>140</v>
      </c>
      <c r="AN187" t="s">
        <v>140</v>
      </c>
      <c r="AO187" t="s">
        <v>140</v>
      </c>
      <c r="AP187" t="s">
        <v>140</v>
      </c>
      <c r="AQ187" t="s">
        <v>140</v>
      </c>
      <c r="AR187" t="s">
        <v>140</v>
      </c>
      <c r="AS187" t="s">
        <v>140</v>
      </c>
      <c r="AT187" t="s">
        <v>140</v>
      </c>
      <c r="AU187" t="s">
        <v>140</v>
      </c>
      <c r="AV187" t="s">
        <v>140</v>
      </c>
      <c r="AW187" t="s">
        <v>140</v>
      </c>
      <c r="AX187" t="s">
        <v>140</v>
      </c>
      <c r="AY187" t="s">
        <v>140</v>
      </c>
      <c r="AZ187" t="s">
        <v>140</v>
      </c>
      <c r="BA187" t="s">
        <v>140</v>
      </c>
      <c r="BB187" t="s">
        <v>140</v>
      </c>
      <c r="BC187" t="s">
        <v>140</v>
      </c>
      <c r="BD187" t="s">
        <v>140</v>
      </c>
      <c r="BE187" t="s">
        <v>140</v>
      </c>
      <c r="BF187" t="s">
        <v>140</v>
      </c>
      <c r="BG187" t="s">
        <v>140</v>
      </c>
      <c r="BH187" t="s">
        <v>140</v>
      </c>
      <c r="BI187" t="s">
        <v>140</v>
      </c>
      <c r="BJ187" t="s">
        <v>140</v>
      </c>
      <c r="BK187" t="s">
        <v>140</v>
      </c>
      <c r="BL187" t="s">
        <v>140</v>
      </c>
      <c r="BM187" t="s">
        <v>140</v>
      </c>
      <c r="BN187" t="s">
        <v>140</v>
      </c>
      <c r="BO187" t="s">
        <v>140</v>
      </c>
      <c r="BP187" t="s">
        <v>140</v>
      </c>
      <c r="BQ187" t="s">
        <v>140</v>
      </c>
      <c r="BR187" t="s">
        <v>140</v>
      </c>
      <c r="BS187" t="s">
        <v>140</v>
      </c>
      <c r="BT187" t="s">
        <v>140</v>
      </c>
      <c r="BU187" t="s">
        <v>140</v>
      </c>
      <c r="BV187" t="s">
        <v>140</v>
      </c>
      <c r="BW187" t="s">
        <v>140</v>
      </c>
      <c r="BX187" t="s">
        <v>140</v>
      </c>
      <c r="BY187" t="s">
        <v>140</v>
      </c>
      <c r="BZ187" t="s">
        <v>140</v>
      </c>
      <c r="CA187" t="s">
        <v>140</v>
      </c>
      <c r="CB187" t="s">
        <v>140</v>
      </c>
      <c r="CC187" t="s">
        <v>140</v>
      </c>
      <c r="CD187" t="s">
        <v>140</v>
      </c>
      <c r="CE187" t="s">
        <v>140</v>
      </c>
      <c r="CF187" t="s">
        <v>140</v>
      </c>
      <c r="CG187" t="s">
        <v>140</v>
      </c>
      <c r="CH187" t="s">
        <v>140</v>
      </c>
      <c r="CI187" t="s">
        <v>140</v>
      </c>
      <c r="CJ187" t="s">
        <v>140</v>
      </c>
      <c r="CK187" t="s">
        <v>140</v>
      </c>
      <c r="CL187" t="s">
        <v>140</v>
      </c>
      <c r="CM187" t="s">
        <v>140</v>
      </c>
      <c r="CN187" t="s">
        <v>140</v>
      </c>
      <c r="CO187" t="s">
        <v>140</v>
      </c>
      <c r="CP187" t="s">
        <v>140</v>
      </c>
      <c r="CQ187" t="s">
        <v>140</v>
      </c>
      <c r="CR187" t="s">
        <v>140</v>
      </c>
      <c r="CS187" t="s">
        <v>140</v>
      </c>
      <c r="CT187" t="s">
        <v>140</v>
      </c>
      <c r="CU187" t="s">
        <v>140</v>
      </c>
      <c r="CV187" t="s">
        <v>140</v>
      </c>
      <c r="CW187" t="s">
        <v>140</v>
      </c>
      <c r="CX187" t="s">
        <v>140</v>
      </c>
      <c r="CY187" t="s">
        <v>140</v>
      </c>
      <c r="CZ187" t="s">
        <v>140</v>
      </c>
      <c r="DA187" t="s">
        <v>140</v>
      </c>
      <c r="DB187" t="s">
        <v>140</v>
      </c>
      <c r="DC187" s="1">
        <v>0</v>
      </c>
      <c r="DD187" s="1">
        <v>0</v>
      </c>
      <c r="DE187" s="1">
        <v>0</v>
      </c>
      <c r="DF187" s="1">
        <v>0</v>
      </c>
      <c r="DG187" s="1">
        <v>0</v>
      </c>
      <c r="DH187" s="1">
        <v>0</v>
      </c>
      <c r="DI187" s="1">
        <v>0</v>
      </c>
      <c r="DJ187" s="1">
        <v>0</v>
      </c>
      <c r="DK187" s="1">
        <v>-866</v>
      </c>
      <c r="DL187" s="1">
        <v>-1066</v>
      </c>
      <c r="DM187" s="1">
        <v>-873</v>
      </c>
      <c r="DN187" s="1">
        <v>-1471</v>
      </c>
      <c r="DO187" s="1">
        <v>-946</v>
      </c>
      <c r="DP187" s="1">
        <v>-1854</v>
      </c>
      <c r="DQ187" s="1">
        <v>-1976</v>
      </c>
      <c r="DR187" s="1">
        <v>-2054</v>
      </c>
      <c r="DS187" s="1">
        <v>-2138</v>
      </c>
      <c r="DT187" s="1">
        <v>-2230</v>
      </c>
      <c r="DU187" s="1">
        <v>-2404</v>
      </c>
      <c r="DV187" s="1">
        <v>-2494</v>
      </c>
      <c r="DW187" s="1">
        <v>-2581</v>
      </c>
      <c r="DX187" s="1">
        <v>-2673</v>
      </c>
      <c r="DY187" s="1">
        <v>-2758</v>
      </c>
      <c r="DZ187" s="1">
        <v>-2759</v>
      </c>
      <c r="EA187" s="1">
        <v>-2964</v>
      </c>
      <c r="EB187" s="1">
        <v>-2966</v>
      </c>
      <c r="EC187" s="1">
        <v>-2339</v>
      </c>
      <c r="ED187" s="1">
        <v>-1627</v>
      </c>
    </row>
    <row r="188" spans="1:134" x14ac:dyDescent="0.25">
      <c r="A188" t="s">
        <v>304</v>
      </c>
      <c r="B188" s="1">
        <v>-477</v>
      </c>
      <c r="C188" s="1">
        <v>-429</v>
      </c>
      <c r="D188" s="1">
        <v>-451</v>
      </c>
      <c r="E188" s="1">
        <v>-403</v>
      </c>
      <c r="F188" s="1">
        <v>1979</v>
      </c>
      <c r="G188" s="1">
        <v>-547</v>
      </c>
      <c r="H188" s="1">
        <v>-624</v>
      </c>
      <c r="I188" s="1">
        <v>-599</v>
      </c>
      <c r="J188" s="1">
        <v>-89</v>
      </c>
      <c r="K188" s="1">
        <v>-725</v>
      </c>
      <c r="L188" s="1">
        <v>-884</v>
      </c>
      <c r="M188" s="1">
        <v>-884</v>
      </c>
      <c r="N188" t="s">
        <v>141</v>
      </c>
      <c r="O188" t="s">
        <v>140</v>
      </c>
      <c r="P188" t="s">
        <v>140</v>
      </c>
      <c r="Q188" t="s">
        <v>140</v>
      </c>
      <c r="R188" t="s">
        <v>140</v>
      </c>
      <c r="S188" t="s">
        <v>140</v>
      </c>
      <c r="T188" t="s">
        <v>140</v>
      </c>
      <c r="U188" t="s">
        <v>140</v>
      </c>
      <c r="V188" t="s">
        <v>140</v>
      </c>
      <c r="W188" t="s">
        <v>140</v>
      </c>
      <c r="X188" t="s">
        <v>140</v>
      </c>
      <c r="Y188" t="s">
        <v>140</v>
      </c>
      <c r="Z188" t="s">
        <v>140</v>
      </c>
      <c r="AA188" t="s">
        <v>140</v>
      </c>
      <c r="AB188" t="s">
        <v>140</v>
      </c>
      <c r="AC188" t="s">
        <v>140</v>
      </c>
      <c r="AD188" t="s">
        <v>140</v>
      </c>
      <c r="AE188" t="s">
        <v>140</v>
      </c>
      <c r="AF188" t="s">
        <v>140</v>
      </c>
      <c r="AG188" t="s">
        <v>140</v>
      </c>
      <c r="AH188" t="s">
        <v>140</v>
      </c>
      <c r="AI188" t="s">
        <v>140</v>
      </c>
      <c r="AJ188" t="s">
        <v>140</v>
      </c>
      <c r="AK188" t="s">
        <v>140</v>
      </c>
      <c r="AL188" t="s">
        <v>140</v>
      </c>
      <c r="AM188" t="s">
        <v>140</v>
      </c>
      <c r="AN188" t="s">
        <v>140</v>
      </c>
      <c r="AO188" t="s">
        <v>140</v>
      </c>
      <c r="AP188" t="s">
        <v>140</v>
      </c>
      <c r="AQ188" t="s">
        <v>140</v>
      </c>
      <c r="AR188" t="s">
        <v>140</v>
      </c>
      <c r="AS188" t="s">
        <v>140</v>
      </c>
      <c r="AT188" t="s">
        <v>140</v>
      </c>
      <c r="AU188" t="s">
        <v>140</v>
      </c>
      <c r="AV188" t="s">
        <v>140</v>
      </c>
      <c r="AW188" t="s">
        <v>140</v>
      </c>
      <c r="AX188" t="s">
        <v>140</v>
      </c>
      <c r="AY188" t="s">
        <v>140</v>
      </c>
      <c r="AZ188" t="s">
        <v>140</v>
      </c>
      <c r="BA188" t="s">
        <v>140</v>
      </c>
      <c r="BB188" t="s">
        <v>140</v>
      </c>
      <c r="BC188" t="s">
        <v>140</v>
      </c>
      <c r="BD188" t="s">
        <v>140</v>
      </c>
      <c r="BE188" t="s">
        <v>140</v>
      </c>
      <c r="BF188" t="s">
        <v>140</v>
      </c>
      <c r="BG188" t="s">
        <v>140</v>
      </c>
      <c r="BH188" t="s">
        <v>140</v>
      </c>
      <c r="BI188" t="s">
        <v>140</v>
      </c>
      <c r="BJ188" t="s">
        <v>140</v>
      </c>
      <c r="BK188" t="s">
        <v>140</v>
      </c>
      <c r="BL188" t="s">
        <v>140</v>
      </c>
      <c r="BM188" t="s">
        <v>140</v>
      </c>
      <c r="BN188" t="s">
        <v>140</v>
      </c>
      <c r="BO188" t="s">
        <v>140</v>
      </c>
      <c r="BP188" t="s">
        <v>140</v>
      </c>
      <c r="BQ188" t="s">
        <v>140</v>
      </c>
      <c r="BR188" t="s">
        <v>140</v>
      </c>
      <c r="BS188" t="s">
        <v>140</v>
      </c>
      <c r="BT188" t="s">
        <v>140</v>
      </c>
      <c r="BU188" t="s">
        <v>140</v>
      </c>
      <c r="BV188" t="s">
        <v>140</v>
      </c>
      <c r="BW188" t="s">
        <v>140</v>
      </c>
      <c r="BX188" t="s">
        <v>140</v>
      </c>
      <c r="BY188" t="s">
        <v>140</v>
      </c>
      <c r="BZ188" t="s">
        <v>140</v>
      </c>
      <c r="CA188" t="s">
        <v>140</v>
      </c>
      <c r="CB188" t="s">
        <v>140</v>
      </c>
      <c r="CC188" t="s">
        <v>140</v>
      </c>
      <c r="CD188" t="s">
        <v>140</v>
      </c>
      <c r="CE188" t="s">
        <v>140</v>
      </c>
      <c r="CF188" t="s">
        <v>140</v>
      </c>
      <c r="CG188" t="s">
        <v>140</v>
      </c>
      <c r="CH188" t="s">
        <v>140</v>
      </c>
      <c r="CI188" t="s">
        <v>140</v>
      </c>
      <c r="CJ188" t="s">
        <v>140</v>
      </c>
      <c r="CK188" t="s">
        <v>140</v>
      </c>
      <c r="CL188" t="s">
        <v>140</v>
      </c>
      <c r="CM188" t="s">
        <v>140</v>
      </c>
      <c r="CN188" t="s">
        <v>140</v>
      </c>
      <c r="CO188" t="s">
        <v>140</v>
      </c>
      <c r="CP188" t="s">
        <v>140</v>
      </c>
      <c r="CQ188" t="s">
        <v>140</v>
      </c>
      <c r="CR188" t="s">
        <v>140</v>
      </c>
      <c r="CS188" t="s">
        <v>140</v>
      </c>
      <c r="CT188" t="s">
        <v>140</v>
      </c>
      <c r="CU188" t="s">
        <v>140</v>
      </c>
      <c r="CV188" t="s">
        <v>140</v>
      </c>
      <c r="CW188" t="s">
        <v>140</v>
      </c>
      <c r="CX188" t="s">
        <v>140</v>
      </c>
      <c r="CY188" t="s">
        <v>140</v>
      </c>
      <c r="CZ188" t="s">
        <v>140</v>
      </c>
      <c r="DA188" t="s">
        <v>140</v>
      </c>
      <c r="DB188" t="s">
        <v>140</v>
      </c>
      <c r="DC188" s="1">
        <v>0</v>
      </c>
      <c r="DD188" s="1">
        <v>0</v>
      </c>
      <c r="DE188" s="1">
        <v>0</v>
      </c>
      <c r="DF188" s="1">
        <v>0</v>
      </c>
      <c r="DG188" s="1">
        <v>-968</v>
      </c>
      <c r="DH188" s="1">
        <v>-941</v>
      </c>
      <c r="DI188" s="1">
        <v>-1060</v>
      </c>
      <c r="DJ188" s="1">
        <v>-1043</v>
      </c>
      <c r="DK188" s="1">
        <v>-201</v>
      </c>
      <c r="DL188" s="1">
        <v>-228</v>
      </c>
      <c r="DM188" s="1">
        <v>-236</v>
      </c>
      <c r="DN188" s="1">
        <v>-215</v>
      </c>
      <c r="DO188" s="1">
        <v>-199</v>
      </c>
      <c r="DP188" s="1">
        <v>-204</v>
      </c>
      <c r="DQ188" s="1">
        <v>-165</v>
      </c>
      <c r="DR188" s="1">
        <v>2144</v>
      </c>
      <c r="DS188" s="1">
        <v>-234</v>
      </c>
      <c r="DT188" s="1">
        <v>-313</v>
      </c>
      <c r="DU188" s="1">
        <v>-349</v>
      </c>
      <c r="DV188" s="1">
        <v>-275</v>
      </c>
      <c r="DW188" s="1">
        <v>-277</v>
      </c>
      <c r="DX188" s="1">
        <v>-322</v>
      </c>
      <c r="DY188" s="1">
        <v>-23</v>
      </c>
      <c r="DZ188" s="1">
        <v>-66</v>
      </c>
      <c r="EA188" s="1">
        <v>-225</v>
      </c>
      <c r="EB188" s="1">
        <v>-500</v>
      </c>
      <c r="EC188" s="1">
        <v>-490</v>
      </c>
      <c r="ED188" s="1">
        <v>-394</v>
      </c>
    </row>
    <row r="189" spans="1:134" x14ac:dyDescent="0.25">
      <c r="A189" t="s">
        <v>305</v>
      </c>
      <c r="B189" s="1">
        <v>-2651</v>
      </c>
      <c r="C189" s="1">
        <v>-306</v>
      </c>
      <c r="D189" s="1">
        <v>-1901</v>
      </c>
      <c r="E189" s="1">
        <v>-4020</v>
      </c>
      <c r="F189" s="1">
        <v>1430</v>
      </c>
      <c r="G189" s="1">
        <v>1987</v>
      </c>
      <c r="H189" s="1">
        <v>-6291</v>
      </c>
      <c r="I189" s="1">
        <v>-11962</v>
      </c>
      <c r="J189" s="1">
        <v>-13142</v>
      </c>
      <c r="K189" s="1">
        <v>-766</v>
      </c>
      <c r="L189" s="1">
        <v>-2060</v>
      </c>
      <c r="M189" s="1">
        <v>-2060</v>
      </c>
      <c r="N189" t="s">
        <v>141</v>
      </c>
      <c r="O189" t="s">
        <v>140</v>
      </c>
      <c r="P189" t="s">
        <v>140</v>
      </c>
      <c r="Q189" t="s">
        <v>140</v>
      </c>
      <c r="R189" t="s">
        <v>140</v>
      </c>
      <c r="S189" t="s">
        <v>140</v>
      </c>
      <c r="T189" t="s">
        <v>140</v>
      </c>
      <c r="U189" t="s">
        <v>140</v>
      </c>
      <c r="V189" t="s">
        <v>140</v>
      </c>
      <c r="W189" t="s">
        <v>140</v>
      </c>
      <c r="X189" t="s">
        <v>140</v>
      </c>
      <c r="Y189" t="s">
        <v>140</v>
      </c>
      <c r="Z189" t="s">
        <v>140</v>
      </c>
      <c r="AA189" t="s">
        <v>140</v>
      </c>
      <c r="AB189" t="s">
        <v>140</v>
      </c>
      <c r="AC189" t="s">
        <v>140</v>
      </c>
      <c r="AD189" t="s">
        <v>140</v>
      </c>
      <c r="AE189" t="s">
        <v>140</v>
      </c>
      <c r="AF189" t="s">
        <v>140</v>
      </c>
      <c r="AG189" t="s">
        <v>140</v>
      </c>
      <c r="AH189" t="s">
        <v>140</v>
      </c>
      <c r="AI189" t="s">
        <v>140</v>
      </c>
      <c r="AJ189" t="s">
        <v>140</v>
      </c>
      <c r="AK189" t="s">
        <v>140</v>
      </c>
      <c r="AL189" t="s">
        <v>140</v>
      </c>
      <c r="AM189" t="s">
        <v>140</v>
      </c>
      <c r="AN189" t="s">
        <v>140</v>
      </c>
      <c r="AO189" t="s">
        <v>140</v>
      </c>
      <c r="AP189" t="s">
        <v>140</v>
      </c>
      <c r="AQ189" t="s">
        <v>140</v>
      </c>
      <c r="AR189" t="s">
        <v>140</v>
      </c>
      <c r="AS189" t="s">
        <v>140</v>
      </c>
      <c r="AT189" t="s">
        <v>140</v>
      </c>
      <c r="AU189" t="s">
        <v>140</v>
      </c>
      <c r="AV189" t="s">
        <v>140</v>
      </c>
      <c r="AW189" t="s">
        <v>140</v>
      </c>
      <c r="AX189" t="s">
        <v>140</v>
      </c>
      <c r="AY189" t="s">
        <v>140</v>
      </c>
      <c r="AZ189" t="s">
        <v>140</v>
      </c>
      <c r="BA189" t="s">
        <v>140</v>
      </c>
      <c r="BB189" t="s">
        <v>140</v>
      </c>
      <c r="BC189" t="s">
        <v>140</v>
      </c>
      <c r="BD189" t="s">
        <v>140</v>
      </c>
      <c r="BE189" t="s">
        <v>140</v>
      </c>
      <c r="BF189" t="s">
        <v>140</v>
      </c>
      <c r="BG189" t="s">
        <v>140</v>
      </c>
      <c r="BH189" t="s">
        <v>140</v>
      </c>
      <c r="BI189" t="s">
        <v>140</v>
      </c>
      <c r="BJ189" t="s">
        <v>140</v>
      </c>
      <c r="BK189" t="s">
        <v>140</v>
      </c>
      <c r="BL189" t="s">
        <v>140</v>
      </c>
      <c r="BM189" t="s">
        <v>140</v>
      </c>
      <c r="BN189" t="s">
        <v>140</v>
      </c>
      <c r="BO189" t="s">
        <v>140</v>
      </c>
      <c r="BP189" t="s">
        <v>140</v>
      </c>
      <c r="BQ189" t="s">
        <v>140</v>
      </c>
      <c r="BR189" t="s">
        <v>140</v>
      </c>
      <c r="BS189" t="s">
        <v>140</v>
      </c>
      <c r="BT189" t="s">
        <v>140</v>
      </c>
      <c r="BU189" t="s">
        <v>140</v>
      </c>
      <c r="BV189" t="s">
        <v>140</v>
      </c>
      <c r="BW189" t="s">
        <v>140</v>
      </c>
      <c r="BX189" t="s">
        <v>140</v>
      </c>
      <c r="BY189" t="s">
        <v>140</v>
      </c>
      <c r="BZ189" t="s">
        <v>140</v>
      </c>
      <c r="CA189" t="s">
        <v>140</v>
      </c>
      <c r="CB189" t="s">
        <v>140</v>
      </c>
      <c r="CC189" t="s">
        <v>140</v>
      </c>
      <c r="CD189" t="s">
        <v>140</v>
      </c>
      <c r="CE189" t="s">
        <v>140</v>
      </c>
      <c r="CF189" t="s">
        <v>140</v>
      </c>
      <c r="CG189" t="s">
        <v>140</v>
      </c>
      <c r="CH189" t="s">
        <v>140</v>
      </c>
      <c r="CI189" t="s">
        <v>140</v>
      </c>
      <c r="CJ189" t="s">
        <v>140</v>
      </c>
      <c r="CK189" t="s">
        <v>140</v>
      </c>
      <c r="CL189" t="s">
        <v>140</v>
      </c>
      <c r="CM189" t="s">
        <v>140</v>
      </c>
      <c r="CN189" t="s">
        <v>140</v>
      </c>
      <c r="CO189" t="s">
        <v>140</v>
      </c>
      <c r="CP189" t="s">
        <v>140</v>
      </c>
      <c r="CQ189" t="s">
        <v>140</v>
      </c>
      <c r="CR189" t="s">
        <v>140</v>
      </c>
      <c r="CS189" t="s">
        <v>140</v>
      </c>
      <c r="CT189" t="s">
        <v>140</v>
      </c>
      <c r="CU189" t="s">
        <v>140</v>
      </c>
      <c r="CV189" t="s">
        <v>140</v>
      </c>
      <c r="CW189" t="s">
        <v>140</v>
      </c>
      <c r="CX189" t="s">
        <v>140</v>
      </c>
      <c r="CY189" t="s">
        <v>140</v>
      </c>
      <c r="CZ189" t="s">
        <v>140</v>
      </c>
      <c r="DA189" t="s">
        <v>140</v>
      </c>
      <c r="DB189" t="s">
        <v>140</v>
      </c>
      <c r="DC189" s="1">
        <v>0</v>
      </c>
      <c r="DD189" s="1">
        <v>0</v>
      </c>
      <c r="DE189" s="1">
        <v>0</v>
      </c>
      <c r="DF189" s="1">
        <v>0</v>
      </c>
      <c r="DG189" s="1">
        <v>-1509</v>
      </c>
      <c r="DH189" s="1">
        <v>-1093</v>
      </c>
      <c r="DI189" s="1">
        <v>-1298</v>
      </c>
      <c r="DJ189" s="1">
        <v>-1353</v>
      </c>
      <c r="DK189" s="1">
        <v>1010</v>
      </c>
      <c r="DL189" s="1">
        <v>-1316</v>
      </c>
      <c r="DM189" s="1">
        <v>-712</v>
      </c>
      <c r="DN189" s="1">
        <v>-1189</v>
      </c>
      <c r="DO189" s="1">
        <v>-2454</v>
      </c>
      <c r="DP189" s="1">
        <v>-1566</v>
      </c>
      <c r="DQ189" s="1">
        <v>-1242</v>
      </c>
      <c r="DR189" s="1">
        <v>2672</v>
      </c>
      <c r="DS189" s="1">
        <v>4702</v>
      </c>
      <c r="DT189" s="1">
        <v>-2715</v>
      </c>
      <c r="DU189" s="1">
        <v>-820</v>
      </c>
      <c r="DV189" s="1">
        <v>-5471</v>
      </c>
      <c r="DW189" s="1">
        <v>1974</v>
      </c>
      <c r="DX189" s="1">
        <v>-13936</v>
      </c>
      <c r="DY189" s="1">
        <v>-9343</v>
      </c>
      <c r="DZ189" s="1">
        <v>-3799</v>
      </c>
      <c r="EA189" s="1">
        <v>-957</v>
      </c>
      <c r="EB189" s="1">
        <v>191</v>
      </c>
      <c r="EC189" s="1">
        <v>-2228</v>
      </c>
      <c r="ED189" s="1">
        <v>168</v>
      </c>
    </row>
    <row r="190" spans="1:134" x14ac:dyDescent="0.25">
      <c r="A190" t="s">
        <v>306</v>
      </c>
      <c r="B190" s="1">
        <v>0</v>
      </c>
      <c r="C190" s="1">
        <v>0</v>
      </c>
      <c r="D190" s="1">
        <v>0</v>
      </c>
      <c r="E190" s="1">
        <v>0</v>
      </c>
      <c r="F190" s="1">
        <v>0</v>
      </c>
      <c r="G190" s="1">
        <v>-4</v>
      </c>
      <c r="H190" s="1">
        <v>-9</v>
      </c>
      <c r="I190" s="1">
        <v>19</v>
      </c>
      <c r="J190" s="1">
        <v>-44</v>
      </c>
      <c r="K190" s="1">
        <v>-108</v>
      </c>
      <c r="L190" s="1">
        <v>177</v>
      </c>
      <c r="M190" s="1">
        <v>177</v>
      </c>
      <c r="N190" t="s">
        <v>141</v>
      </c>
      <c r="O190" t="s">
        <v>140</v>
      </c>
      <c r="P190" t="s">
        <v>140</v>
      </c>
      <c r="Q190" t="s">
        <v>140</v>
      </c>
      <c r="R190" t="s">
        <v>140</v>
      </c>
      <c r="S190" t="s">
        <v>140</v>
      </c>
      <c r="T190" t="s">
        <v>140</v>
      </c>
      <c r="U190" t="s">
        <v>140</v>
      </c>
      <c r="V190" t="s">
        <v>140</v>
      </c>
      <c r="W190" t="s">
        <v>140</v>
      </c>
      <c r="X190" t="s">
        <v>140</v>
      </c>
      <c r="Y190" t="s">
        <v>140</v>
      </c>
      <c r="Z190" t="s">
        <v>140</v>
      </c>
      <c r="AA190" t="s">
        <v>140</v>
      </c>
      <c r="AB190" t="s">
        <v>140</v>
      </c>
      <c r="AC190" t="s">
        <v>140</v>
      </c>
      <c r="AD190" t="s">
        <v>140</v>
      </c>
      <c r="AE190" t="s">
        <v>140</v>
      </c>
      <c r="AF190" t="s">
        <v>140</v>
      </c>
      <c r="AG190" t="s">
        <v>140</v>
      </c>
      <c r="AH190" t="s">
        <v>140</v>
      </c>
      <c r="AI190" t="s">
        <v>140</v>
      </c>
      <c r="AJ190" t="s">
        <v>140</v>
      </c>
      <c r="AK190" t="s">
        <v>140</v>
      </c>
      <c r="AL190" t="s">
        <v>140</v>
      </c>
      <c r="AM190" t="s">
        <v>140</v>
      </c>
      <c r="AN190" t="s">
        <v>140</v>
      </c>
      <c r="AO190" t="s">
        <v>140</v>
      </c>
      <c r="AP190" t="s">
        <v>140</v>
      </c>
      <c r="AQ190" t="s">
        <v>140</v>
      </c>
      <c r="AR190" t="s">
        <v>140</v>
      </c>
      <c r="AS190" t="s">
        <v>140</v>
      </c>
      <c r="AT190" t="s">
        <v>140</v>
      </c>
      <c r="AU190" t="s">
        <v>140</v>
      </c>
      <c r="AV190" t="s">
        <v>140</v>
      </c>
      <c r="AW190" t="s">
        <v>140</v>
      </c>
      <c r="AX190" t="s">
        <v>140</v>
      </c>
      <c r="AY190" t="s">
        <v>140</v>
      </c>
      <c r="AZ190" t="s">
        <v>140</v>
      </c>
      <c r="BA190" t="s">
        <v>140</v>
      </c>
      <c r="BB190" t="s">
        <v>140</v>
      </c>
      <c r="BC190" t="s">
        <v>140</v>
      </c>
      <c r="BD190" t="s">
        <v>140</v>
      </c>
      <c r="BE190" t="s">
        <v>140</v>
      </c>
      <c r="BF190" t="s">
        <v>140</v>
      </c>
      <c r="BG190" t="s">
        <v>140</v>
      </c>
      <c r="BH190" t="s">
        <v>140</v>
      </c>
      <c r="BI190" t="s">
        <v>140</v>
      </c>
      <c r="BJ190" t="s">
        <v>140</v>
      </c>
      <c r="BK190" t="s">
        <v>140</v>
      </c>
      <c r="BL190" t="s">
        <v>140</v>
      </c>
      <c r="BM190" t="s">
        <v>140</v>
      </c>
      <c r="BN190" t="s">
        <v>140</v>
      </c>
      <c r="BO190" t="s">
        <v>140</v>
      </c>
      <c r="BP190" t="s">
        <v>140</v>
      </c>
      <c r="BQ190" t="s">
        <v>140</v>
      </c>
      <c r="BR190" t="s">
        <v>140</v>
      </c>
      <c r="BS190" t="s">
        <v>140</v>
      </c>
      <c r="BT190" t="s">
        <v>140</v>
      </c>
      <c r="BU190" t="s">
        <v>140</v>
      </c>
      <c r="BV190" t="s">
        <v>140</v>
      </c>
      <c r="BW190" t="s">
        <v>140</v>
      </c>
      <c r="BX190" t="s">
        <v>140</v>
      </c>
      <c r="BY190" t="s">
        <v>140</v>
      </c>
      <c r="BZ190" t="s">
        <v>140</v>
      </c>
      <c r="CA190" t="s">
        <v>140</v>
      </c>
      <c r="CB190" t="s">
        <v>140</v>
      </c>
      <c r="CC190" t="s">
        <v>140</v>
      </c>
      <c r="CD190" t="s">
        <v>140</v>
      </c>
      <c r="CE190" t="s">
        <v>140</v>
      </c>
      <c r="CF190" t="s">
        <v>140</v>
      </c>
      <c r="CG190" t="s">
        <v>140</v>
      </c>
      <c r="CH190" t="s">
        <v>140</v>
      </c>
      <c r="CI190" t="s">
        <v>140</v>
      </c>
      <c r="CJ190" t="s">
        <v>140</v>
      </c>
      <c r="CK190" t="s">
        <v>140</v>
      </c>
      <c r="CL190" t="s">
        <v>140</v>
      </c>
      <c r="CM190" t="s">
        <v>140</v>
      </c>
      <c r="CN190" t="s">
        <v>140</v>
      </c>
      <c r="CO190" t="s">
        <v>140</v>
      </c>
      <c r="CP190" t="s">
        <v>140</v>
      </c>
      <c r="CQ190" t="s">
        <v>140</v>
      </c>
      <c r="CR190" t="s">
        <v>140</v>
      </c>
      <c r="CS190" t="s">
        <v>140</v>
      </c>
      <c r="CT190" t="s">
        <v>140</v>
      </c>
      <c r="CU190" t="s">
        <v>140</v>
      </c>
      <c r="CV190" t="s">
        <v>140</v>
      </c>
      <c r="CW190" t="s">
        <v>140</v>
      </c>
      <c r="CX190" t="s">
        <v>140</v>
      </c>
      <c r="CY190" t="s">
        <v>140</v>
      </c>
      <c r="CZ190" t="s">
        <v>140</v>
      </c>
      <c r="DA190" t="s">
        <v>140</v>
      </c>
      <c r="DB190" t="s">
        <v>140</v>
      </c>
      <c r="DC190" s="1">
        <v>0</v>
      </c>
      <c r="DD190" s="1">
        <v>0</v>
      </c>
      <c r="DE190" s="1">
        <v>0</v>
      </c>
      <c r="DF190" s="1">
        <v>0</v>
      </c>
      <c r="DG190" s="1">
        <v>0</v>
      </c>
      <c r="DH190" s="1">
        <v>0</v>
      </c>
      <c r="DI190" s="1">
        <v>0</v>
      </c>
      <c r="DJ190" s="1">
        <v>0</v>
      </c>
      <c r="DK190" s="1">
        <v>0</v>
      </c>
      <c r="DL190" s="1">
        <v>0</v>
      </c>
      <c r="DM190" s="1">
        <v>0</v>
      </c>
      <c r="DN190" s="1">
        <v>0</v>
      </c>
      <c r="DO190" s="1">
        <v>0</v>
      </c>
      <c r="DP190" s="1">
        <v>0</v>
      </c>
      <c r="DQ190" s="1">
        <v>0</v>
      </c>
      <c r="DR190" s="1">
        <v>0</v>
      </c>
      <c r="DS190" s="1">
        <v>-1</v>
      </c>
      <c r="DT190" s="1">
        <v>-3</v>
      </c>
      <c r="DU190" s="1">
        <v>-5</v>
      </c>
      <c r="DV190" s="1">
        <v>-4</v>
      </c>
      <c r="DW190" s="1">
        <v>6</v>
      </c>
      <c r="DX190" s="1">
        <v>13</v>
      </c>
      <c r="DY190" s="1">
        <v>-57</v>
      </c>
      <c r="DZ190" s="1">
        <v>13</v>
      </c>
      <c r="EA190" s="1">
        <v>-95</v>
      </c>
      <c r="EB190" s="1">
        <v>-13</v>
      </c>
      <c r="EC190" s="1">
        <v>84</v>
      </c>
      <c r="ED190" s="1">
        <v>93</v>
      </c>
    </row>
    <row r="191" spans="1:134" x14ac:dyDescent="0.25">
      <c r="A191" t="s">
        <v>307</v>
      </c>
      <c r="B191" s="1">
        <v>66</v>
      </c>
      <c r="C191" s="1">
        <v>-549</v>
      </c>
      <c r="D191" s="1">
        <v>1507</v>
      </c>
      <c r="E191" s="1">
        <v>-1097</v>
      </c>
      <c r="F191" s="1">
        <v>1673</v>
      </c>
      <c r="G191" s="1">
        <v>-1897</v>
      </c>
      <c r="H191" s="1">
        <v>199</v>
      </c>
      <c r="I191" s="1">
        <v>2629</v>
      </c>
      <c r="J191" s="1">
        <v>-470</v>
      </c>
      <c r="K191" s="1">
        <v>5183</v>
      </c>
      <c r="L191" s="1">
        <v>-5347</v>
      </c>
      <c r="M191" s="1">
        <v>-5347</v>
      </c>
      <c r="N191" t="s">
        <v>141</v>
      </c>
      <c r="O191" t="s">
        <v>140</v>
      </c>
      <c r="P191" t="s">
        <v>140</v>
      </c>
      <c r="Q191" t="s">
        <v>140</v>
      </c>
      <c r="R191" t="s">
        <v>140</v>
      </c>
      <c r="S191" t="s">
        <v>140</v>
      </c>
      <c r="T191" t="s">
        <v>140</v>
      </c>
      <c r="U191" t="s">
        <v>140</v>
      </c>
      <c r="V191" t="s">
        <v>140</v>
      </c>
      <c r="W191" t="s">
        <v>140</v>
      </c>
      <c r="X191" t="s">
        <v>140</v>
      </c>
      <c r="Y191" t="s">
        <v>140</v>
      </c>
      <c r="Z191" t="s">
        <v>140</v>
      </c>
      <c r="AA191" t="s">
        <v>140</v>
      </c>
      <c r="AB191" t="s">
        <v>140</v>
      </c>
      <c r="AC191" t="s">
        <v>140</v>
      </c>
      <c r="AD191" t="s">
        <v>140</v>
      </c>
      <c r="AE191" t="s">
        <v>140</v>
      </c>
      <c r="AF191" t="s">
        <v>140</v>
      </c>
      <c r="AG191" t="s">
        <v>140</v>
      </c>
      <c r="AH191" t="s">
        <v>140</v>
      </c>
      <c r="AI191" t="s">
        <v>140</v>
      </c>
      <c r="AJ191" t="s">
        <v>140</v>
      </c>
      <c r="AK191" t="s">
        <v>140</v>
      </c>
      <c r="AL191" t="s">
        <v>140</v>
      </c>
      <c r="AM191" t="s">
        <v>140</v>
      </c>
      <c r="AN191" t="s">
        <v>140</v>
      </c>
      <c r="AO191" t="s">
        <v>140</v>
      </c>
      <c r="AP191" t="s">
        <v>140</v>
      </c>
      <c r="AQ191" t="s">
        <v>140</v>
      </c>
      <c r="AR191" t="s">
        <v>140</v>
      </c>
      <c r="AS191" t="s">
        <v>140</v>
      </c>
      <c r="AT191" t="s">
        <v>140</v>
      </c>
      <c r="AU191" t="s">
        <v>140</v>
      </c>
      <c r="AV191" t="s">
        <v>140</v>
      </c>
      <c r="AW191" t="s">
        <v>140</v>
      </c>
      <c r="AX191" t="s">
        <v>140</v>
      </c>
      <c r="AY191" t="s">
        <v>140</v>
      </c>
      <c r="AZ191" t="s">
        <v>140</v>
      </c>
      <c r="BA191" t="s">
        <v>140</v>
      </c>
      <c r="BB191" t="s">
        <v>140</v>
      </c>
      <c r="BC191" t="s">
        <v>140</v>
      </c>
      <c r="BD191" t="s">
        <v>140</v>
      </c>
      <c r="BE191" t="s">
        <v>140</v>
      </c>
      <c r="BF191" t="s">
        <v>140</v>
      </c>
      <c r="BG191" t="s">
        <v>140</v>
      </c>
      <c r="BH191" t="s">
        <v>140</v>
      </c>
      <c r="BI191" t="s">
        <v>140</v>
      </c>
      <c r="BJ191" t="s">
        <v>140</v>
      </c>
      <c r="BK191" t="s">
        <v>140</v>
      </c>
      <c r="BL191" t="s">
        <v>140</v>
      </c>
      <c r="BM191" t="s">
        <v>140</v>
      </c>
      <c r="BN191" t="s">
        <v>140</v>
      </c>
      <c r="BO191" t="s">
        <v>140</v>
      </c>
      <c r="BP191" t="s">
        <v>140</v>
      </c>
      <c r="BQ191" t="s">
        <v>140</v>
      </c>
      <c r="BR191" t="s">
        <v>140</v>
      </c>
      <c r="BS191" t="s">
        <v>140</v>
      </c>
      <c r="BT191" t="s">
        <v>140</v>
      </c>
      <c r="BU191" t="s">
        <v>140</v>
      </c>
      <c r="BV191" t="s">
        <v>140</v>
      </c>
      <c r="BW191" t="s">
        <v>140</v>
      </c>
      <c r="BX191" t="s">
        <v>140</v>
      </c>
      <c r="BY191" t="s">
        <v>140</v>
      </c>
      <c r="BZ191" t="s">
        <v>140</v>
      </c>
      <c r="CA191" t="s">
        <v>140</v>
      </c>
      <c r="CB191" t="s">
        <v>140</v>
      </c>
      <c r="CC191" t="s">
        <v>140</v>
      </c>
      <c r="CD191" t="s">
        <v>140</v>
      </c>
      <c r="CE191" t="s">
        <v>140</v>
      </c>
      <c r="CF191" t="s">
        <v>140</v>
      </c>
      <c r="CG191" t="s">
        <v>140</v>
      </c>
      <c r="CH191" t="s">
        <v>140</v>
      </c>
      <c r="CI191" t="s">
        <v>140</v>
      </c>
      <c r="CJ191" t="s">
        <v>140</v>
      </c>
      <c r="CK191" t="s">
        <v>140</v>
      </c>
      <c r="CL191" t="s">
        <v>140</v>
      </c>
      <c r="CM191" t="s">
        <v>140</v>
      </c>
      <c r="CN191" t="s">
        <v>140</v>
      </c>
      <c r="CO191" t="s">
        <v>140</v>
      </c>
      <c r="CP191" t="s">
        <v>140</v>
      </c>
      <c r="CQ191" t="s">
        <v>140</v>
      </c>
      <c r="CR191" t="s">
        <v>140</v>
      </c>
      <c r="CS191" t="s">
        <v>140</v>
      </c>
      <c r="CT191" t="s">
        <v>140</v>
      </c>
      <c r="CU191" t="s">
        <v>140</v>
      </c>
      <c r="CV191" t="s">
        <v>140</v>
      </c>
      <c r="CW191" t="s">
        <v>140</v>
      </c>
      <c r="CX191" t="s">
        <v>140</v>
      </c>
      <c r="CY191" t="s">
        <v>140</v>
      </c>
      <c r="CZ191" t="s">
        <v>140</v>
      </c>
      <c r="DA191" t="s">
        <v>140</v>
      </c>
      <c r="DB191" t="s">
        <v>140</v>
      </c>
      <c r="DC191" s="1">
        <v>0</v>
      </c>
      <c r="DD191" s="1">
        <v>0</v>
      </c>
      <c r="DE191" s="1">
        <v>0</v>
      </c>
      <c r="DF191" s="1">
        <v>0</v>
      </c>
      <c r="DG191" s="1">
        <v>-237</v>
      </c>
      <c r="DH191" s="1">
        <v>362</v>
      </c>
      <c r="DI191" s="1">
        <v>274</v>
      </c>
      <c r="DJ191" s="1">
        <v>-208</v>
      </c>
      <c r="DK191" s="1">
        <v>376</v>
      </c>
      <c r="DL191" s="1">
        <v>-925</v>
      </c>
      <c r="DM191" s="1">
        <v>-32</v>
      </c>
      <c r="DN191" s="1">
        <v>1539</v>
      </c>
      <c r="DO191" s="1">
        <v>-1531</v>
      </c>
      <c r="DP191" s="1">
        <v>434</v>
      </c>
      <c r="DQ191" s="1">
        <v>1407</v>
      </c>
      <c r="DR191" s="1">
        <v>266</v>
      </c>
      <c r="DS191" s="1">
        <v>-1739</v>
      </c>
      <c r="DT191" s="1">
        <v>-158</v>
      </c>
      <c r="DU191" s="1">
        <v>76</v>
      </c>
      <c r="DV191" s="1">
        <v>123</v>
      </c>
      <c r="DW191" s="1">
        <v>-20</v>
      </c>
      <c r="DX191" s="1">
        <v>2649</v>
      </c>
      <c r="DY191" s="1">
        <v>-1964</v>
      </c>
      <c r="DZ191" s="1">
        <v>1494</v>
      </c>
      <c r="EA191" s="1">
        <v>-141</v>
      </c>
      <c r="EB191" s="1">
        <v>5324</v>
      </c>
      <c r="EC191" s="1">
        <v>-6063</v>
      </c>
      <c r="ED191" s="1">
        <v>716</v>
      </c>
    </row>
    <row r="192" spans="1:134" x14ac:dyDescent="0.25">
      <c r="A192" t="s">
        <v>308</v>
      </c>
      <c r="B192" s="1">
        <v>-16</v>
      </c>
      <c r="C192" s="1">
        <v>-27</v>
      </c>
      <c r="D192" s="1">
        <v>-25</v>
      </c>
      <c r="E192" s="1">
        <v>-18</v>
      </c>
      <c r="F192" s="1">
        <v>-25</v>
      </c>
      <c r="G192" s="1">
        <v>-18</v>
      </c>
      <c r="H192" s="1">
        <v>-39</v>
      </c>
      <c r="I192" s="1">
        <v>-39</v>
      </c>
      <c r="J192" s="1">
        <v>-49</v>
      </c>
      <c r="K192" s="1">
        <v>-583</v>
      </c>
      <c r="L192" s="1">
        <v>-37</v>
      </c>
      <c r="M192" s="1">
        <v>-37</v>
      </c>
      <c r="N192" t="s">
        <v>141</v>
      </c>
      <c r="O192" t="s">
        <v>140</v>
      </c>
      <c r="P192" t="s">
        <v>140</v>
      </c>
      <c r="Q192" t="s">
        <v>140</v>
      </c>
      <c r="R192" t="s">
        <v>140</v>
      </c>
      <c r="S192" t="s">
        <v>140</v>
      </c>
      <c r="T192" t="s">
        <v>140</v>
      </c>
      <c r="U192" t="s">
        <v>140</v>
      </c>
      <c r="V192" t="s">
        <v>140</v>
      </c>
      <c r="W192" t="s">
        <v>140</v>
      </c>
      <c r="X192" t="s">
        <v>140</v>
      </c>
      <c r="Y192" t="s">
        <v>140</v>
      </c>
      <c r="Z192" t="s">
        <v>140</v>
      </c>
      <c r="AA192" t="s">
        <v>140</v>
      </c>
      <c r="AB192" t="s">
        <v>140</v>
      </c>
      <c r="AC192" t="s">
        <v>140</v>
      </c>
      <c r="AD192" t="s">
        <v>140</v>
      </c>
      <c r="AE192" t="s">
        <v>140</v>
      </c>
      <c r="AF192" t="s">
        <v>140</v>
      </c>
      <c r="AG192" t="s">
        <v>140</v>
      </c>
      <c r="AH192" t="s">
        <v>140</v>
      </c>
      <c r="AI192" t="s">
        <v>140</v>
      </c>
      <c r="AJ192" t="s">
        <v>140</v>
      </c>
      <c r="AK192" t="s">
        <v>140</v>
      </c>
      <c r="AL192" t="s">
        <v>140</v>
      </c>
      <c r="AM192" t="s">
        <v>140</v>
      </c>
      <c r="AN192" t="s">
        <v>140</v>
      </c>
      <c r="AO192" t="s">
        <v>140</v>
      </c>
      <c r="AP192" t="s">
        <v>140</v>
      </c>
      <c r="AQ192" t="s">
        <v>140</v>
      </c>
      <c r="AR192" t="s">
        <v>140</v>
      </c>
      <c r="AS192" t="s">
        <v>140</v>
      </c>
      <c r="AT192" t="s">
        <v>140</v>
      </c>
      <c r="AU192" t="s">
        <v>140</v>
      </c>
      <c r="AV192" t="s">
        <v>140</v>
      </c>
      <c r="AW192" t="s">
        <v>140</v>
      </c>
      <c r="AX192" t="s">
        <v>140</v>
      </c>
      <c r="AY192" t="s">
        <v>140</v>
      </c>
      <c r="AZ192" t="s">
        <v>140</v>
      </c>
      <c r="BA192" t="s">
        <v>140</v>
      </c>
      <c r="BB192" t="s">
        <v>140</v>
      </c>
      <c r="BC192" t="s">
        <v>140</v>
      </c>
      <c r="BD192" t="s">
        <v>140</v>
      </c>
      <c r="BE192" t="s">
        <v>140</v>
      </c>
      <c r="BF192" t="s">
        <v>140</v>
      </c>
      <c r="BG192" t="s">
        <v>140</v>
      </c>
      <c r="BH192" t="s">
        <v>140</v>
      </c>
      <c r="BI192" t="s">
        <v>140</v>
      </c>
      <c r="BJ192" t="s">
        <v>140</v>
      </c>
      <c r="BK192" t="s">
        <v>140</v>
      </c>
      <c r="BL192" t="s">
        <v>140</v>
      </c>
      <c r="BM192" t="s">
        <v>140</v>
      </c>
      <c r="BN192" t="s">
        <v>140</v>
      </c>
      <c r="BO192" t="s">
        <v>140</v>
      </c>
      <c r="BP192" t="s">
        <v>140</v>
      </c>
      <c r="BQ192" t="s">
        <v>140</v>
      </c>
      <c r="BR192" t="s">
        <v>140</v>
      </c>
      <c r="BS192" t="s">
        <v>140</v>
      </c>
      <c r="BT192" t="s">
        <v>140</v>
      </c>
      <c r="BU192" t="s">
        <v>140</v>
      </c>
      <c r="BV192" t="s">
        <v>140</v>
      </c>
      <c r="BW192" t="s">
        <v>140</v>
      </c>
      <c r="BX192" t="s">
        <v>140</v>
      </c>
      <c r="BY192" t="s">
        <v>140</v>
      </c>
      <c r="BZ192" t="s">
        <v>140</v>
      </c>
      <c r="CA192" t="s">
        <v>140</v>
      </c>
      <c r="CB192" t="s">
        <v>140</v>
      </c>
      <c r="CC192" t="s">
        <v>140</v>
      </c>
      <c r="CD192" t="s">
        <v>140</v>
      </c>
      <c r="CE192" t="s">
        <v>140</v>
      </c>
      <c r="CF192" t="s">
        <v>140</v>
      </c>
      <c r="CG192" t="s">
        <v>140</v>
      </c>
      <c r="CH192" t="s">
        <v>140</v>
      </c>
      <c r="CI192" t="s">
        <v>140</v>
      </c>
      <c r="CJ192" t="s">
        <v>140</v>
      </c>
      <c r="CK192" t="s">
        <v>140</v>
      </c>
      <c r="CL192" t="s">
        <v>140</v>
      </c>
      <c r="CM192" t="s">
        <v>140</v>
      </c>
      <c r="CN192" t="s">
        <v>140</v>
      </c>
      <c r="CO192" t="s">
        <v>140</v>
      </c>
      <c r="CP192" t="s">
        <v>140</v>
      </c>
      <c r="CQ192" t="s">
        <v>140</v>
      </c>
      <c r="CR192" t="s">
        <v>140</v>
      </c>
      <c r="CS192" t="s">
        <v>140</v>
      </c>
      <c r="CT192" t="s">
        <v>140</v>
      </c>
      <c r="CU192" t="s">
        <v>140</v>
      </c>
      <c r="CV192" t="s">
        <v>140</v>
      </c>
      <c r="CW192" t="s">
        <v>140</v>
      </c>
      <c r="CX192" t="s">
        <v>140</v>
      </c>
      <c r="CY192" t="s">
        <v>140</v>
      </c>
      <c r="CZ192" t="s">
        <v>140</v>
      </c>
      <c r="DA192" t="s">
        <v>140</v>
      </c>
      <c r="DB192" t="s">
        <v>140</v>
      </c>
      <c r="DC192" s="1">
        <v>0</v>
      </c>
      <c r="DD192" s="1">
        <v>0</v>
      </c>
      <c r="DE192" s="1">
        <v>0</v>
      </c>
      <c r="DF192" s="1">
        <v>0</v>
      </c>
      <c r="DG192" s="1">
        <v>-374</v>
      </c>
      <c r="DH192" s="1">
        <v>-382</v>
      </c>
      <c r="DI192" s="1">
        <v>-300</v>
      </c>
      <c r="DJ192" s="1">
        <v>284</v>
      </c>
      <c r="DK192" s="1">
        <v>-10</v>
      </c>
      <c r="DL192" s="1">
        <v>-17</v>
      </c>
      <c r="DM192" s="1">
        <v>-12</v>
      </c>
      <c r="DN192" s="1">
        <v>-13</v>
      </c>
      <c r="DO192" s="1">
        <v>-8</v>
      </c>
      <c r="DP192" s="1">
        <v>-10</v>
      </c>
      <c r="DQ192" s="1">
        <v>-15</v>
      </c>
      <c r="DR192" s="1">
        <v>-10</v>
      </c>
      <c r="DS192" s="1">
        <v>-5</v>
      </c>
      <c r="DT192" s="1">
        <v>-13</v>
      </c>
      <c r="DU192" s="1">
        <v>-19</v>
      </c>
      <c r="DV192" s="1">
        <v>-20</v>
      </c>
      <c r="DW192" s="1">
        <v>-17</v>
      </c>
      <c r="DX192" s="1">
        <v>-22</v>
      </c>
      <c r="DY192" s="1">
        <v>-16</v>
      </c>
      <c r="DZ192" s="1">
        <v>-33</v>
      </c>
      <c r="EA192" s="1">
        <v>-193</v>
      </c>
      <c r="EB192" s="1">
        <v>-390</v>
      </c>
      <c r="EC192" s="1">
        <v>-20</v>
      </c>
      <c r="ED192" s="1">
        <v>-17</v>
      </c>
    </row>
    <row r="193" spans="1:134" x14ac:dyDescent="0.25">
      <c r="A193" t="s">
        <v>309</v>
      </c>
      <c r="B193" s="1">
        <v>3349</v>
      </c>
      <c r="C193" s="1">
        <v>3743</v>
      </c>
      <c r="D193" s="1">
        <v>4174</v>
      </c>
      <c r="E193" s="1">
        <v>4641</v>
      </c>
      <c r="F193" s="1">
        <v>4828</v>
      </c>
      <c r="G193" s="1">
        <v>5664</v>
      </c>
      <c r="H193" s="1">
        <v>6038</v>
      </c>
      <c r="I193" s="1">
        <v>6446</v>
      </c>
      <c r="J193" s="1">
        <v>5892</v>
      </c>
      <c r="K193" s="1">
        <v>6006</v>
      </c>
      <c r="L193" s="1">
        <v>7041</v>
      </c>
      <c r="M193" s="1">
        <v>7041</v>
      </c>
      <c r="N193" t="s">
        <v>141</v>
      </c>
      <c r="O193" t="s">
        <v>140</v>
      </c>
      <c r="P193" t="s">
        <v>140</v>
      </c>
      <c r="Q193" t="s">
        <v>140</v>
      </c>
      <c r="R193" t="s">
        <v>140</v>
      </c>
      <c r="S193" t="s">
        <v>140</v>
      </c>
      <c r="T193" t="s">
        <v>140</v>
      </c>
      <c r="U193" t="s">
        <v>140</v>
      </c>
      <c r="V193" t="s">
        <v>140</v>
      </c>
      <c r="W193" t="s">
        <v>140</v>
      </c>
      <c r="X193" t="s">
        <v>140</v>
      </c>
      <c r="Y193" t="s">
        <v>140</v>
      </c>
      <c r="Z193" t="s">
        <v>140</v>
      </c>
      <c r="AA193" t="s">
        <v>140</v>
      </c>
      <c r="AB193" t="s">
        <v>140</v>
      </c>
      <c r="AC193" t="s">
        <v>140</v>
      </c>
      <c r="AD193" t="s">
        <v>140</v>
      </c>
      <c r="AE193" t="s">
        <v>140</v>
      </c>
      <c r="AF193" t="s">
        <v>140</v>
      </c>
      <c r="AG193" t="s">
        <v>140</v>
      </c>
      <c r="AH193" t="s">
        <v>140</v>
      </c>
      <c r="AI193" t="s">
        <v>140</v>
      </c>
      <c r="AJ193" t="s">
        <v>140</v>
      </c>
      <c r="AK193" t="s">
        <v>140</v>
      </c>
      <c r="AL193" t="s">
        <v>140</v>
      </c>
      <c r="AM193" t="s">
        <v>140</v>
      </c>
      <c r="AN193" t="s">
        <v>140</v>
      </c>
      <c r="AO193" t="s">
        <v>140</v>
      </c>
      <c r="AP193" t="s">
        <v>140</v>
      </c>
      <c r="AQ193" t="s">
        <v>140</v>
      </c>
      <c r="AR193" t="s">
        <v>140</v>
      </c>
      <c r="AS193" t="s">
        <v>140</v>
      </c>
      <c r="AT193" t="s">
        <v>140</v>
      </c>
      <c r="AU193" t="s">
        <v>140</v>
      </c>
      <c r="AV193" t="s">
        <v>140</v>
      </c>
      <c r="AW193" t="s">
        <v>140</v>
      </c>
      <c r="AX193" t="s">
        <v>140</v>
      </c>
      <c r="AY193" t="s">
        <v>140</v>
      </c>
      <c r="AZ193" t="s">
        <v>140</v>
      </c>
      <c r="BA193" t="s">
        <v>140</v>
      </c>
      <c r="BB193" t="s">
        <v>140</v>
      </c>
      <c r="BC193" t="s">
        <v>140</v>
      </c>
      <c r="BD193" t="s">
        <v>140</v>
      </c>
      <c r="BE193" t="s">
        <v>140</v>
      </c>
      <c r="BF193" t="s">
        <v>140</v>
      </c>
      <c r="BG193" t="s">
        <v>140</v>
      </c>
      <c r="BH193" t="s">
        <v>140</v>
      </c>
      <c r="BI193" t="s">
        <v>140</v>
      </c>
      <c r="BJ193" t="s">
        <v>140</v>
      </c>
      <c r="BK193" t="s">
        <v>140</v>
      </c>
      <c r="BL193" t="s">
        <v>140</v>
      </c>
      <c r="BM193" t="s">
        <v>140</v>
      </c>
      <c r="BN193" t="s">
        <v>140</v>
      </c>
      <c r="BO193" t="s">
        <v>140</v>
      </c>
      <c r="BP193" t="s">
        <v>140</v>
      </c>
      <c r="BQ193" t="s">
        <v>140</v>
      </c>
      <c r="BR193" t="s">
        <v>140</v>
      </c>
      <c r="BS193" t="s">
        <v>140</v>
      </c>
      <c r="BT193" t="s">
        <v>140</v>
      </c>
      <c r="BU193" t="s">
        <v>140</v>
      </c>
      <c r="BV193" t="s">
        <v>140</v>
      </c>
      <c r="BW193" t="s">
        <v>140</v>
      </c>
      <c r="BX193" t="s">
        <v>140</v>
      </c>
      <c r="BY193" t="s">
        <v>140</v>
      </c>
      <c r="BZ193" t="s">
        <v>140</v>
      </c>
      <c r="CA193" t="s">
        <v>140</v>
      </c>
      <c r="CB193" t="s">
        <v>140</v>
      </c>
      <c r="CC193" t="s">
        <v>140</v>
      </c>
      <c r="CD193" t="s">
        <v>140</v>
      </c>
      <c r="CE193" t="s">
        <v>140</v>
      </c>
      <c r="CF193" t="s">
        <v>140</v>
      </c>
      <c r="CG193" t="s">
        <v>140</v>
      </c>
      <c r="CH193" t="s">
        <v>140</v>
      </c>
      <c r="CI193" t="s">
        <v>140</v>
      </c>
      <c r="CJ193" t="s">
        <v>140</v>
      </c>
      <c r="CK193" t="s">
        <v>140</v>
      </c>
      <c r="CL193" t="s">
        <v>140</v>
      </c>
      <c r="CM193" t="s">
        <v>140</v>
      </c>
      <c r="CN193" t="s">
        <v>140</v>
      </c>
      <c r="CO193" t="s">
        <v>140</v>
      </c>
      <c r="CP193" t="s">
        <v>140</v>
      </c>
      <c r="CQ193" t="s">
        <v>140</v>
      </c>
      <c r="CR193" t="s">
        <v>140</v>
      </c>
      <c r="CS193" t="s">
        <v>140</v>
      </c>
      <c r="CT193" t="s">
        <v>140</v>
      </c>
      <c r="CU193" t="s">
        <v>140</v>
      </c>
      <c r="CV193" t="s">
        <v>140</v>
      </c>
      <c r="CW193" t="s">
        <v>140</v>
      </c>
      <c r="CX193" t="s">
        <v>140</v>
      </c>
      <c r="CY193" t="s">
        <v>140</v>
      </c>
      <c r="CZ193" t="s">
        <v>140</v>
      </c>
      <c r="DA193" t="s">
        <v>140</v>
      </c>
      <c r="DB193" t="s">
        <v>140</v>
      </c>
      <c r="DC193" s="1">
        <v>0</v>
      </c>
      <c r="DD193" s="1">
        <v>0</v>
      </c>
      <c r="DE193" s="1">
        <v>0</v>
      </c>
      <c r="DF193" s="1">
        <v>0</v>
      </c>
      <c r="DG193" s="1">
        <v>1082</v>
      </c>
      <c r="DH193" s="1">
        <v>1160</v>
      </c>
      <c r="DI193" s="1">
        <v>1327</v>
      </c>
      <c r="DJ193" s="1">
        <v>2022</v>
      </c>
      <c r="DK193" s="1">
        <v>1839</v>
      </c>
      <c r="DL193" s="1">
        <v>1904</v>
      </c>
      <c r="DM193" s="1">
        <v>2103</v>
      </c>
      <c r="DN193" s="1">
        <v>2071</v>
      </c>
      <c r="DO193" s="1">
        <v>2320</v>
      </c>
      <c r="DP193" s="1">
        <v>2321</v>
      </c>
      <c r="DQ193" s="1">
        <v>2527</v>
      </c>
      <c r="DR193" s="1">
        <v>2301</v>
      </c>
      <c r="DS193" s="1">
        <v>2834</v>
      </c>
      <c r="DT193" s="1">
        <v>2830</v>
      </c>
      <c r="DU193" s="1">
        <v>3131</v>
      </c>
      <c r="DV193" s="1">
        <v>2907</v>
      </c>
      <c r="DW193" s="1">
        <v>3381</v>
      </c>
      <c r="DX193" s="1">
        <v>3065</v>
      </c>
      <c r="DY193" s="1">
        <v>2816</v>
      </c>
      <c r="DZ193" s="1">
        <v>3076</v>
      </c>
      <c r="EA193" s="1">
        <v>3125</v>
      </c>
      <c r="EB193" s="1">
        <v>2881</v>
      </c>
      <c r="EC193" s="1">
        <v>3147</v>
      </c>
      <c r="ED193" s="1">
        <v>3894</v>
      </c>
    </row>
    <row r="194" spans="1:134" ht="18.75" x14ac:dyDescent="0.3">
      <c r="A194" s="3" t="s">
        <v>407</v>
      </c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DC194" s="1"/>
      <c r="DD194" s="1"/>
      <c r="DE194" s="1"/>
      <c r="DF194" s="1"/>
      <c r="DG194" s="1"/>
      <c r="DH194" s="1"/>
      <c r="DI194" s="1"/>
      <c r="DJ194" s="1"/>
      <c r="DK194" s="1"/>
      <c r="DL194" s="1"/>
      <c r="DM194" s="1"/>
      <c r="DN194" s="1"/>
      <c r="DO194" s="1"/>
      <c r="DP194" s="1"/>
      <c r="DQ194" s="1"/>
      <c r="DR194" s="1"/>
      <c r="DS194" s="1"/>
      <c r="DT194" s="1"/>
      <c r="DU194" s="1"/>
      <c r="DV194" s="1"/>
      <c r="DW194" s="1"/>
      <c r="DX194" s="1"/>
      <c r="DY194" s="1"/>
      <c r="DZ194" s="1"/>
      <c r="EA194" s="1"/>
      <c r="EB194" s="1"/>
      <c r="EC194" s="1"/>
      <c r="ED194" s="1"/>
    </row>
    <row r="195" spans="1:134" x14ac:dyDescent="0.25">
      <c r="A195" t="s">
        <v>4</v>
      </c>
      <c r="B195" s="1">
        <v>3.53</v>
      </c>
      <c r="C195" s="1">
        <v>6.77</v>
      </c>
      <c r="D195" s="1">
        <v>4.58</v>
      </c>
      <c r="E195" s="1">
        <v>5.08</v>
      </c>
      <c r="F195" s="1">
        <v>4.04</v>
      </c>
      <c r="G195" s="1">
        <v>6.4</v>
      </c>
      <c r="H195" s="1">
        <v>6.87</v>
      </c>
      <c r="I195" s="1">
        <v>3.09</v>
      </c>
      <c r="J195" s="1">
        <v>9.6</v>
      </c>
      <c r="K195" t="s">
        <v>310</v>
      </c>
      <c r="L195" s="1">
        <v>124.21</v>
      </c>
      <c r="M195" s="1">
        <v>119.56</v>
      </c>
      <c r="N195" t="s">
        <v>141</v>
      </c>
      <c r="O195" t="s">
        <v>140</v>
      </c>
      <c r="P195" t="s">
        <v>140</v>
      </c>
      <c r="Q195" t="s">
        <v>140</v>
      </c>
      <c r="R195" t="s">
        <v>140</v>
      </c>
      <c r="S195" t="s">
        <v>140</v>
      </c>
      <c r="T195" t="s">
        <v>140</v>
      </c>
      <c r="U195" t="s">
        <v>140</v>
      </c>
      <c r="V195" t="s">
        <v>140</v>
      </c>
      <c r="W195" t="s">
        <v>140</v>
      </c>
      <c r="X195" t="s">
        <v>140</v>
      </c>
      <c r="Y195" t="s">
        <v>140</v>
      </c>
      <c r="Z195" t="s">
        <v>140</v>
      </c>
      <c r="AA195" t="s">
        <v>140</v>
      </c>
      <c r="AB195" t="s">
        <v>140</v>
      </c>
      <c r="AC195" t="s">
        <v>140</v>
      </c>
      <c r="AD195" t="s">
        <v>140</v>
      </c>
      <c r="AE195" t="s">
        <v>140</v>
      </c>
      <c r="AF195" t="s">
        <v>140</v>
      </c>
      <c r="AG195" t="s">
        <v>140</v>
      </c>
      <c r="AH195" t="s">
        <v>140</v>
      </c>
      <c r="AI195" t="s">
        <v>140</v>
      </c>
      <c r="AJ195" t="s">
        <v>140</v>
      </c>
      <c r="AK195" t="s">
        <v>140</v>
      </c>
      <c r="AL195" t="s">
        <v>140</v>
      </c>
      <c r="AM195" t="s">
        <v>140</v>
      </c>
      <c r="AN195" t="s">
        <v>140</v>
      </c>
      <c r="AO195" t="s">
        <v>140</v>
      </c>
      <c r="AP195" t="s">
        <v>140</v>
      </c>
      <c r="AQ195" t="s">
        <v>140</v>
      </c>
      <c r="AR195" t="s">
        <v>140</v>
      </c>
      <c r="AS195" t="s">
        <v>140</v>
      </c>
      <c r="AT195" t="s">
        <v>140</v>
      </c>
      <c r="AU195" t="s">
        <v>140</v>
      </c>
      <c r="AV195" t="s">
        <v>140</v>
      </c>
      <c r="AW195" t="s">
        <v>140</v>
      </c>
      <c r="AX195" t="s">
        <v>140</v>
      </c>
      <c r="AY195" t="s">
        <v>140</v>
      </c>
      <c r="AZ195" t="s">
        <v>140</v>
      </c>
      <c r="BA195" t="s">
        <v>140</v>
      </c>
      <c r="BB195" t="s">
        <v>140</v>
      </c>
      <c r="BC195" t="s">
        <v>140</v>
      </c>
      <c r="BD195" t="s">
        <v>140</v>
      </c>
      <c r="BE195" t="s">
        <v>140</v>
      </c>
      <c r="BF195" t="s">
        <v>140</v>
      </c>
      <c r="BG195" t="s">
        <v>140</v>
      </c>
      <c r="BH195" t="s">
        <v>140</v>
      </c>
      <c r="BI195" t="s">
        <v>140</v>
      </c>
      <c r="BJ195" t="s">
        <v>140</v>
      </c>
      <c r="BK195" t="s">
        <v>140</v>
      </c>
      <c r="BL195" t="s">
        <v>140</v>
      </c>
      <c r="BM195" t="s">
        <v>140</v>
      </c>
      <c r="BN195" t="s">
        <v>140</v>
      </c>
      <c r="BO195" t="s">
        <v>140</v>
      </c>
      <c r="BP195" t="s">
        <v>140</v>
      </c>
      <c r="BQ195" t="s">
        <v>140</v>
      </c>
      <c r="BR195" t="s">
        <v>140</v>
      </c>
      <c r="BS195" t="s">
        <v>140</v>
      </c>
      <c r="BT195" t="s">
        <v>140</v>
      </c>
      <c r="BU195" t="s">
        <v>140</v>
      </c>
      <c r="BV195" t="s">
        <v>140</v>
      </c>
      <c r="BW195" t="s">
        <v>140</v>
      </c>
      <c r="BX195" t="s">
        <v>140</v>
      </c>
      <c r="BY195" t="s">
        <v>140</v>
      </c>
      <c r="BZ195" t="s">
        <v>140</v>
      </c>
      <c r="CA195" t="s">
        <v>140</v>
      </c>
      <c r="CB195" t="s">
        <v>140</v>
      </c>
      <c r="CC195" t="s">
        <v>140</v>
      </c>
      <c r="CD195" t="s">
        <v>140</v>
      </c>
      <c r="CE195" t="s">
        <v>140</v>
      </c>
      <c r="CF195" t="s">
        <v>140</v>
      </c>
      <c r="CG195" t="s">
        <v>140</v>
      </c>
      <c r="CH195" t="s">
        <v>140</v>
      </c>
      <c r="CI195" t="s">
        <v>140</v>
      </c>
      <c r="CJ195" t="s">
        <v>140</v>
      </c>
      <c r="CK195" t="s">
        <v>140</v>
      </c>
      <c r="CL195" t="s">
        <v>140</v>
      </c>
      <c r="CM195" t="s">
        <v>140</v>
      </c>
      <c r="CN195" t="s">
        <v>140</v>
      </c>
      <c r="CO195" t="s">
        <v>140</v>
      </c>
      <c r="CP195" t="s">
        <v>140</v>
      </c>
      <c r="CQ195" t="s">
        <v>140</v>
      </c>
      <c r="CR195" t="s">
        <v>140</v>
      </c>
      <c r="CS195" t="s">
        <v>140</v>
      </c>
      <c r="CT195" t="s">
        <v>140</v>
      </c>
      <c r="CU195" t="s">
        <v>140</v>
      </c>
      <c r="CV195" t="s">
        <v>140</v>
      </c>
      <c r="CW195" t="s">
        <v>140</v>
      </c>
      <c r="CX195" t="s">
        <v>140</v>
      </c>
      <c r="CY195" t="s">
        <v>140</v>
      </c>
      <c r="CZ195" t="s">
        <v>140</v>
      </c>
      <c r="DA195" t="s">
        <v>140</v>
      </c>
      <c r="DB195" t="s">
        <v>140</v>
      </c>
      <c r="DC195" t="s">
        <v>140</v>
      </c>
      <c r="DD195" t="s">
        <v>140</v>
      </c>
      <c r="DE195" s="1">
        <v>7.26</v>
      </c>
      <c r="DF195" s="1">
        <v>52.9</v>
      </c>
      <c r="DG195" t="s">
        <v>140</v>
      </c>
      <c r="DH195" s="1">
        <v>3.4</v>
      </c>
      <c r="DI195" t="s">
        <v>140</v>
      </c>
      <c r="DJ195" s="1">
        <v>3.53</v>
      </c>
      <c r="DK195" t="s">
        <v>140</v>
      </c>
      <c r="DL195" s="1">
        <v>6.77</v>
      </c>
      <c r="DM195" s="1">
        <v>6.25</v>
      </c>
      <c r="DN195" s="1">
        <v>4.58</v>
      </c>
      <c r="DO195" t="s">
        <v>140</v>
      </c>
      <c r="DP195" s="1">
        <v>5.08</v>
      </c>
      <c r="DQ195" t="s">
        <v>140</v>
      </c>
      <c r="DR195" s="1">
        <v>4.04</v>
      </c>
      <c r="DS195" t="s">
        <v>140</v>
      </c>
      <c r="DT195" s="1">
        <v>6.4</v>
      </c>
      <c r="DU195" t="s">
        <v>140</v>
      </c>
      <c r="DV195" s="1">
        <v>6.87</v>
      </c>
      <c r="DW195" t="s">
        <v>140</v>
      </c>
      <c r="DX195" s="1">
        <v>3.09</v>
      </c>
      <c r="DY195" t="s">
        <v>140</v>
      </c>
      <c r="DZ195" s="1">
        <v>9.6</v>
      </c>
      <c r="EA195" t="s">
        <v>140</v>
      </c>
      <c r="EB195" t="s">
        <v>310</v>
      </c>
      <c r="EC195" t="s">
        <v>140</v>
      </c>
      <c r="ED195" s="1">
        <v>124.21</v>
      </c>
    </row>
    <row r="196" spans="1:134" x14ac:dyDescent="0.25">
      <c r="A196" t="s">
        <v>311</v>
      </c>
      <c r="B196" s="1">
        <v>3.53</v>
      </c>
      <c r="C196" s="1">
        <v>6.77</v>
      </c>
      <c r="D196" s="1">
        <v>4.58</v>
      </c>
      <c r="E196" s="1">
        <v>5.08</v>
      </c>
      <c r="F196" s="1">
        <v>4.04</v>
      </c>
      <c r="G196" s="1">
        <v>6.4</v>
      </c>
      <c r="H196" s="1">
        <v>6.87</v>
      </c>
      <c r="I196" s="1">
        <v>3.09</v>
      </c>
      <c r="J196" s="1">
        <v>9.6</v>
      </c>
      <c r="K196" t="s">
        <v>310</v>
      </c>
      <c r="L196" s="1">
        <v>124.21</v>
      </c>
      <c r="M196" s="1">
        <v>120</v>
      </c>
      <c r="N196" t="s">
        <v>141</v>
      </c>
      <c r="O196" t="s">
        <v>140</v>
      </c>
      <c r="P196" t="s">
        <v>140</v>
      </c>
      <c r="Q196" t="s">
        <v>140</v>
      </c>
      <c r="R196" t="s">
        <v>140</v>
      </c>
      <c r="S196" t="s">
        <v>140</v>
      </c>
      <c r="T196" t="s">
        <v>140</v>
      </c>
      <c r="U196" t="s">
        <v>140</v>
      </c>
      <c r="V196" t="s">
        <v>140</v>
      </c>
      <c r="W196" t="s">
        <v>140</v>
      </c>
      <c r="X196" t="s">
        <v>140</v>
      </c>
      <c r="Y196" t="s">
        <v>140</v>
      </c>
      <c r="Z196" t="s">
        <v>140</v>
      </c>
      <c r="AA196" t="s">
        <v>140</v>
      </c>
      <c r="AB196" t="s">
        <v>140</v>
      </c>
      <c r="AC196" t="s">
        <v>140</v>
      </c>
      <c r="AD196" t="s">
        <v>140</v>
      </c>
      <c r="AE196" t="s">
        <v>140</v>
      </c>
      <c r="AF196" t="s">
        <v>140</v>
      </c>
      <c r="AG196" t="s">
        <v>140</v>
      </c>
      <c r="AH196" t="s">
        <v>140</v>
      </c>
      <c r="AI196" t="s">
        <v>140</v>
      </c>
      <c r="AJ196" t="s">
        <v>140</v>
      </c>
      <c r="AK196" t="s">
        <v>140</v>
      </c>
      <c r="AL196" t="s">
        <v>140</v>
      </c>
      <c r="AM196" t="s">
        <v>140</v>
      </c>
      <c r="AN196" t="s">
        <v>140</v>
      </c>
      <c r="AO196" t="s">
        <v>140</v>
      </c>
      <c r="AP196" t="s">
        <v>140</v>
      </c>
      <c r="AQ196" t="s">
        <v>140</v>
      </c>
      <c r="AR196" t="s">
        <v>140</v>
      </c>
      <c r="AS196" t="s">
        <v>140</v>
      </c>
      <c r="AT196" t="s">
        <v>140</v>
      </c>
      <c r="AU196" t="s">
        <v>140</v>
      </c>
      <c r="AV196" t="s">
        <v>140</v>
      </c>
      <c r="AW196" t="s">
        <v>140</v>
      </c>
      <c r="AX196" t="s">
        <v>140</v>
      </c>
      <c r="AY196" t="s">
        <v>140</v>
      </c>
      <c r="AZ196" t="s">
        <v>140</v>
      </c>
      <c r="BA196" t="s">
        <v>140</v>
      </c>
      <c r="BB196" t="s">
        <v>140</v>
      </c>
      <c r="BC196" t="s">
        <v>140</v>
      </c>
      <c r="BD196" t="s">
        <v>140</v>
      </c>
      <c r="BE196" t="s">
        <v>140</v>
      </c>
      <c r="BF196" t="s">
        <v>140</v>
      </c>
      <c r="BG196" t="s">
        <v>140</v>
      </c>
      <c r="BH196" t="s">
        <v>140</v>
      </c>
      <c r="BI196" t="s">
        <v>140</v>
      </c>
      <c r="BJ196" t="s">
        <v>140</v>
      </c>
      <c r="BK196" t="s">
        <v>140</v>
      </c>
      <c r="BL196" t="s">
        <v>140</v>
      </c>
      <c r="BM196" t="s">
        <v>140</v>
      </c>
      <c r="BN196" t="s">
        <v>140</v>
      </c>
      <c r="BO196" t="s">
        <v>140</v>
      </c>
      <c r="BP196" t="s">
        <v>140</v>
      </c>
      <c r="BQ196" t="s">
        <v>140</v>
      </c>
      <c r="BR196" t="s">
        <v>140</v>
      </c>
      <c r="BS196" t="s">
        <v>140</v>
      </c>
      <c r="BT196" t="s">
        <v>140</v>
      </c>
      <c r="BU196" t="s">
        <v>140</v>
      </c>
      <c r="BV196" t="s">
        <v>140</v>
      </c>
      <c r="BW196" t="s">
        <v>140</v>
      </c>
      <c r="BX196" t="s">
        <v>140</v>
      </c>
      <c r="BY196" t="s">
        <v>140</v>
      </c>
      <c r="BZ196" t="s">
        <v>140</v>
      </c>
      <c r="CA196" t="s">
        <v>140</v>
      </c>
      <c r="CB196" t="s">
        <v>140</v>
      </c>
      <c r="CC196" t="s">
        <v>140</v>
      </c>
      <c r="CD196" t="s">
        <v>140</v>
      </c>
      <c r="CE196" t="s">
        <v>140</v>
      </c>
      <c r="CF196" t="s">
        <v>140</v>
      </c>
      <c r="CG196" t="s">
        <v>140</v>
      </c>
      <c r="CH196" t="s">
        <v>140</v>
      </c>
      <c r="CI196" t="s">
        <v>140</v>
      </c>
      <c r="CJ196" t="s">
        <v>140</v>
      </c>
      <c r="CK196" t="s">
        <v>140</v>
      </c>
      <c r="CL196" t="s">
        <v>140</v>
      </c>
      <c r="CM196" t="s">
        <v>140</v>
      </c>
      <c r="CN196" t="s">
        <v>140</v>
      </c>
      <c r="CO196" t="s">
        <v>140</v>
      </c>
      <c r="CP196" t="s">
        <v>140</v>
      </c>
      <c r="CQ196" t="s">
        <v>140</v>
      </c>
      <c r="CR196" t="s">
        <v>140</v>
      </c>
      <c r="CS196" t="s">
        <v>140</v>
      </c>
      <c r="CT196" t="s">
        <v>140</v>
      </c>
      <c r="CU196" t="s">
        <v>140</v>
      </c>
      <c r="CV196" t="s">
        <v>140</v>
      </c>
      <c r="CW196" t="s">
        <v>140</v>
      </c>
      <c r="CX196" t="s">
        <v>140</v>
      </c>
      <c r="CY196" t="s">
        <v>140</v>
      </c>
      <c r="CZ196" t="s">
        <v>140</v>
      </c>
      <c r="DA196" t="s">
        <v>140</v>
      </c>
      <c r="DB196" t="s">
        <v>140</v>
      </c>
      <c r="DC196" t="s">
        <v>140</v>
      </c>
      <c r="DD196" t="s">
        <v>140</v>
      </c>
      <c r="DE196" s="1">
        <v>7.26</v>
      </c>
      <c r="DF196" s="1">
        <v>52.9</v>
      </c>
      <c r="DG196" t="s">
        <v>140</v>
      </c>
      <c r="DH196" s="1">
        <v>3.4</v>
      </c>
      <c r="DI196" t="s">
        <v>140</v>
      </c>
      <c r="DJ196" s="1">
        <v>3.53</v>
      </c>
      <c r="DK196" t="s">
        <v>140</v>
      </c>
      <c r="DL196" s="1">
        <v>6.77</v>
      </c>
      <c r="DM196" s="1">
        <v>6.25</v>
      </c>
      <c r="DN196" s="1">
        <v>4.58</v>
      </c>
      <c r="DO196" t="s">
        <v>140</v>
      </c>
      <c r="DP196" s="1">
        <v>5.08</v>
      </c>
      <c r="DQ196" t="s">
        <v>140</v>
      </c>
      <c r="DR196" s="1">
        <v>4.04</v>
      </c>
      <c r="DS196" t="s">
        <v>140</v>
      </c>
      <c r="DT196" s="1">
        <v>6.4</v>
      </c>
      <c r="DU196" t="s">
        <v>140</v>
      </c>
      <c r="DV196" s="1">
        <v>6.87</v>
      </c>
      <c r="DW196" t="s">
        <v>140</v>
      </c>
      <c r="DX196" s="1">
        <v>3.09</v>
      </c>
      <c r="DY196" t="s">
        <v>140</v>
      </c>
      <c r="DZ196" s="1">
        <v>9.6</v>
      </c>
      <c r="EA196" t="s">
        <v>140</v>
      </c>
      <c r="EB196" t="s">
        <v>310</v>
      </c>
      <c r="EC196" t="s">
        <v>140</v>
      </c>
      <c r="ED196" s="1">
        <v>124.21</v>
      </c>
    </row>
    <row r="197" spans="1:134" x14ac:dyDescent="0.25">
      <c r="A197" t="s">
        <v>312</v>
      </c>
      <c r="B197" s="1">
        <v>3.6</v>
      </c>
      <c r="C197" s="1">
        <v>6.99</v>
      </c>
      <c r="D197" s="1">
        <v>4.63</v>
      </c>
      <c r="E197" s="1">
        <v>5.0999999999999996</v>
      </c>
      <c r="F197" s="1">
        <v>4.03</v>
      </c>
      <c r="G197" s="1">
        <v>6.33</v>
      </c>
      <c r="H197" s="1">
        <v>6.83</v>
      </c>
      <c r="I197" s="1">
        <v>3.09</v>
      </c>
      <c r="J197" s="1">
        <v>9.7899999999999991</v>
      </c>
      <c r="K197" s="1">
        <v>0</v>
      </c>
      <c r="L197" s="1">
        <v>210.09</v>
      </c>
      <c r="M197" s="1">
        <v>202.98</v>
      </c>
      <c r="N197" t="s">
        <v>141</v>
      </c>
      <c r="O197" t="s">
        <v>140</v>
      </c>
      <c r="P197" t="s">
        <v>140</v>
      </c>
      <c r="Q197" t="s">
        <v>140</v>
      </c>
      <c r="R197" t="s">
        <v>140</v>
      </c>
      <c r="S197" t="s">
        <v>140</v>
      </c>
      <c r="T197" t="s">
        <v>140</v>
      </c>
      <c r="U197" t="s">
        <v>140</v>
      </c>
      <c r="V197" t="s">
        <v>140</v>
      </c>
      <c r="W197" t="s">
        <v>140</v>
      </c>
      <c r="X197" t="s">
        <v>140</v>
      </c>
      <c r="Y197" t="s">
        <v>140</v>
      </c>
      <c r="Z197" t="s">
        <v>140</v>
      </c>
      <c r="AA197" t="s">
        <v>140</v>
      </c>
      <c r="AB197" t="s">
        <v>140</v>
      </c>
      <c r="AC197" t="s">
        <v>140</v>
      </c>
      <c r="AD197" t="s">
        <v>140</v>
      </c>
      <c r="AE197" t="s">
        <v>140</v>
      </c>
      <c r="AF197" t="s">
        <v>140</v>
      </c>
      <c r="AG197" t="s">
        <v>140</v>
      </c>
      <c r="AH197" t="s">
        <v>140</v>
      </c>
      <c r="AI197" t="s">
        <v>140</v>
      </c>
      <c r="AJ197" t="s">
        <v>140</v>
      </c>
      <c r="AK197" t="s">
        <v>140</v>
      </c>
      <c r="AL197" t="s">
        <v>140</v>
      </c>
      <c r="AM197" t="s">
        <v>140</v>
      </c>
      <c r="AN197" t="s">
        <v>140</v>
      </c>
      <c r="AO197" t="s">
        <v>140</v>
      </c>
      <c r="AP197" t="s">
        <v>140</v>
      </c>
      <c r="AQ197" t="s">
        <v>140</v>
      </c>
      <c r="AR197" t="s">
        <v>140</v>
      </c>
      <c r="AS197" t="s">
        <v>140</v>
      </c>
      <c r="AT197" t="s">
        <v>140</v>
      </c>
      <c r="AU197" t="s">
        <v>140</v>
      </c>
      <c r="AV197" t="s">
        <v>140</v>
      </c>
      <c r="AW197" t="s">
        <v>140</v>
      </c>
      <c r="AX197" t="s">
        <v>140</v>
      </c>
      <c r="AY197" t="s">
        <v>140</v>
      </c>
      <c r="AZ197" t="s">
        <v>140</v>
      </c>
      <c r="BA197" t="s">
        <v>140</v>
      </c>
      <c r="BB197" t="s">
        <v>140</v>
      </c>
      <c r="BC197" t="s">
        <v>140</v>
      </c>
      <c r="BD197" t="s">
        <v>140</v>
      </c>
      <c r="BE197" t="s">
        <v>140</v>
      </c>
      <c r="BF197" t="s">
        <v>140</v>
      </c>
      <c r="BG197" t="s">
        <v>140</v>
      </c>
      <c r="BH197" t="s">
        <v>140</v>
      </c>
      <c r="BI197" t="s">
        <v>140</v>
      </c>
      <c r="BJ197" t="s">
        <v>140</v>
      </c>
      <c r="BK197" t="s">
        <v>140</v>
      </c>
      <c r="BL197" t="s">
        <v>140</v>
      </c>
      <c r="BM197" t="s">
        <v>140</v>
      </c>
      <c r="BN197" t="s">
        <v>140</v>
      </c>
      <c r="BO197" t="s">
        <v>140</v>
      </c>
      <c r="BP197" t="s">
        <v>140</v>
      </c>
      <c r="BQ197" t="s">
        <v>140</v>
      </c>
      <c r="BR197" t="s">
        <v>140</v>
      </c>
      <c r="BS197" t="s">
        <v>140</v>
      </c>
      <c r="BT197" t="s">
        <v>140</v>
      </c>
      <c r="BU197" t="s">
        <v>140</v>
      </c>
      <c r="BV197" t="s">
        <v>140</v>
      </c>
      <c r="BW197" t="s">
        <v>140</v>
      </c>
      <c r="BX197" t="s">
        <v>140</v>
      </c>
      <c r="BY197" t="s">
        <v>140</v>
      </c>
      <c r="BZ197" t="s">
        <v>140</v>
      </c>
      <c r="CA197" t="s">
        <v>140</v>
      </c>
      <c r="CB197" t="s">
        <v>140</v>
      </c>
      <c r="CC197" t="s">
        <v>140</v>
      </c>
      <c r="CD197" t="s">
        <v>140</v>
      </c>
      <c r="CE197" t="s">
        <v>140</v>
      </c>
      <c r="CF197" t="s">
        <v>140</v>
      </c>
      <c r="CG197" t="s">
        <v>140</v>
      </c>
      <c r="CH197" t="s">
        <v>140</v>
      </c>
      <c r="CI197" t="s">
        <v>140</v>
      </c>
      <c r="CJ197" t="s">
        <v>140</v>
      </c>
      <c r="CK197" t="s">
        <v>140</v>
      </c>
      <c r="CL197" t="s">
        <v>140</v>
      </c>
      <c r="CM197" t="s">
        <v>140</v>
      </c>
      <c r="CN197" t="s">
        <v>140</v>
      </c>
      <c r="CO197" t="s">
        <v>140</v>
      </c>
      <c r="CP197" t="s">
        <v>140</v>
      </c>
      <c r="CQ197" t="s">
        <v>140</v>
      </c>
      <c r="CR197" t="s">
        <v>140</v>
      </c>
      <c r="CS197" t="s">
        <v>140</v>
      </c>
      <c r="CT197" t="s">
        <v>140</v>
      </c>
      <c r="CU197" t="s">
        <v>140</v>
      </c>
      <c r="CV197" t="s">
        <v>140</v>
      </c>
      <c r="CW197" t="s">
        <v>140</v>
      </c>
      <c r="CX197" t="s">
        <v>140</v>
      </c>
      <c r="CY197" t="s">
        <v>140</v>
      </c>
      <c r="CZ197" t="s">
        <v>140</v>
      </c>
      <c r="DA197" t="s">
        <v>140</v>
      </c>
      <c r="DB197" t="s">
        <v>140</v>
      </c>
      <c r="DC197" s="1">
        <v>0</v>
      </c>
      <c r="DD197" s="1">
        <v>0</v>
      </c>
      <c r="DE197" s="1">
        <v>0</v>
      </c>
      <c r="DF197" s="1">
        <v>0</v>
      </c>
      <c r="DG197" s="1">
        <v>0</v>
      </c>
      <c r="DH197" s="1">
        <v>3.55</v>
      </c>
      <c r="DI197" s="1">
        <v>0</v>
      </c>
      <c r="DJ197" s="1">
        <v>3.6</v>
      </c>
      <c r="DK197" s="1">
        <v>0</v>
      </c>
      <c r="DL197" s="1">
        <v>6.99</v>
      </c>
      <c r="DM197" s="1">
        <v>0</v>
      </c>
      <c r="DN197" s="1">
        <v>4.63</v>
      </c>
      <c r="DO197" s="1">
        <v>0</v>
      </c>
      <c r="DP197" s="1">
        <v>5.0999999999999996</v>
      </c>
      <c r="DQ197" s="1">
        <v>0</v>
      </c>
      <c r="DR197" s="1">
        <v>4.03</v>
      </c>
      <c r="DS197" s="1">
        <v>0</v>
      </c>
      <c r="DT197" s="1">
        <v>6.33</v>
      </c>
      <c r="DU197" s="1">
        <v>0</v>
      </c>
      <c r="DV197" s="1">
        <v>6.83</v>
      </c>
      <c r="DW197" s="1">
        <v>0</v>
      </c>
      <c r="DX197" s="1">
        <v>3.09</v>
      </c>
      <c r="DY197" s="1">
        <v>0</v>
      </c>
      <c r="DZ197" s="1">
        <v>9.7899999999999991</v>
      </c>
      <c r="EA197" s="1">
        <v>0</v>
      </c>
      <c r="EB197" s="1">
        <v>0</v>
      </c>
      <c r="EC197" s="1">
        <v>0</v>
      </c>
      <c r="ED197" s="1">
        <v>210.09</v>
      </c>
    </row>
    <row r="198" spans="1:134" x14ac:dyDescent="0.25">
      <c r="A198" t="s">
        <v>5</v>
      </c>
      <c r="B198" s="1">
        <v>0.99</v>
      </c>
      <c r="C198" s="1">
        <v>1.04</v>
      </c>
      <c r="D198" s="1">
        <v>1.19</v>
      </c>
      <c r="E198" s="1">
        <v>0.91</v>
      </c>
      <c r="F198" s="1">
        <v>0.93</v>
      </c>
      <c r="G198" s="1">
        <v>0.81</v>
      </c>
      <c r="H198" s="1">
        <v>0.87</v>
      </c>
      <c r="I198" s="1">
        <v>0.81</v>
      </c>
      <c r="J198" s="1">
        <v>1.03</v>
      </c>
      <c r="K198" s="1">
        <v>0.85</v>
      </c>
      <c r="L198" s="1">
        <v>0.93</v>
      </c>
      <c r="M198" s="1">
        <v>0.89</v>
      </c>
      <c r="N198" t="s">
        <v>141</v>
      </c>
      <c r="O198" t="s">
        <v>140</v>
      </c>
      <c r="P198" t="s">
        <v>140</v>
      </c>
      <c r="Q198" t="s">
        <v>140</v>
      </c>
      <c r="R198" t="s">
        <v>140</v>
      </c>
      <c r="S198" t="s">
        <v>140</v>
      </c>
      <c r="T198" t="s">
        <v>140</v>
      </c>
      <c r="U198" t="s">
        <v>140</v>
      </c>
      <c r="V198" t="s">
        <v>140</v>
      </c>
      <c r="W198" t="s">
        <v>140</v>
      </c>
      <c r="X198" t="s">
        <v>140</v>
      </c>
      <c r="Y198" t="s">
        <v>140</v>
      </c>
      <c r="Z198" t="s">
        <v>140</v>
      </c>
      <c r="AA198" t="s">
        <v>140</v>
      </c>
      <c r="AB198" t="s">
        <v>140</v>
      </c>
      <c r="AC198" t="s">
        <v>140</v>
      </c>
      <c r="AD198" t="s">
        <v>140</v>
      </c>
      <c r="AE198" t="s">
        <v>140</v>
      </c>
      <c r="AF198" t="s">
        <v>140</v>
      </c>
      <c r="AG198" t="s">
        <v>140</v>
      </c>
      <c r="AH198" t="s">
        <v>140</v>
      </c>
      <c r="AI198" t="s">
        <v>140</v>
      </c>
      <c r="AJ198" t="s">
        <v>140</v>
      </c>
      <c r="AK198" t="s">
        <v>140</v>
      </c>
      <c r="AL198" t="s">
        <v>140</v>
      </c>
      <c r="AM198" t="s">
        <v>140</v>
      </c>
      <c r="AN198" t="s">
        <v>140</v>
      </c>
      <c r="AO198" t="s">
        <v>140</v>
      </c>
      <c r="AP198" t="s">
        <v>140</v>
      </c>
      <c r="AQ198" t="s">
        <v>140</v>
      </c>
      <c r="AR198" t="s">
        <v>140</v>
      </c>
      <c r="AS198" t="s">
        <v>140</v>
      </c>
      <c r="AT198" t="s">
        <v>140</v>
      </c>
      <c r="AU198" t="s">
        <v>140</v>
      </c>
      <c r="AV198" t="s">
        <v>140</v>
      </c>
      <c r="AW198" t="s">
        <v>140</v>
      </c>
      <c r="AX198" t="s">
        <v>140</v>
      </c>
      <c r="AY198" t="s">
        <v>140</v>
      </c>
      <c r="AZ198" t="s">
        <v>140</v>
      </c>
      <c r="BA198" t="s">
        <v>140</v>
      </c>
      <c r="BB198" t="s">
        <v>140</v>
      </c>
      <c r="BC198" t="s">
        <v>140</v>
      </c>
      <c r="BD198" t="s">
        <v>140</v>
      </c>
      <c r="BE198" t="s">
        <v>140</v>
      </c>
      <c r="BF198" t="s">
        <v>140</v>
      </c>
      <c r="BG198" t="s">
        <v>140</v>
      </c>
      <c r="BH198" t="s">
        <v>140</v>
      </c>
      <c r="BI198" t="s">
        <v>140</v>
      </c>
      <c r="BJ198" t="s">
        <v>140</v>
      </c>
      <c r="BK198" t="s">
        <v>140</v>
      </c>
      <c r="BL198" t="s">
        <v>140</v>
      </c>
      <c r="BM198" t="s">
        <v>140</v>
      </c>
      <c r="BN198" t="s">
        <v>140</v>
      </c>
      <c r="BO198" t="s">
        <v>140</v>
      </c>
      <c r="BP198" t="s">
        <v>140</v>
      </c>
      <c r="BQ198" t="s">
        <v>140</v>
      </c>
      <c r="BR198" t="s">
        <v>140</v>
      </c>
      <c r="BS198" t="s">
        <v>140</v>
      </c>
      <c r="BT198" t="s">
        <v>140</v>
      </c>
      <c r="BU198" t="s">
        <v>140</v>
      </c>
      <c r="BV198" t="s">
        <v>140</v>
      </c>
      <c r="BW198" t="s">
        <v>140</v>
      </c>
      <c r="BX198" t="s">
        <v>140</v>
      </c>
      <c r="BY198" t="s">
        <v>140</v>
      </c>
      <c r="BZ198" t="s">
        <v>140</v>
      </c>
      <c r="CA198" t="s">
        <v>140</v>
      </c>
      <c r="CB198" t="s">
        <v>140</v>
      </c>
      <c r="CC198" t="s">
        <v>140</v>
      </c>
      <c r="CD198" t="s">
        <v>140</v>
      </c>
      <c r="CE198" t="s">
        <v>140</v>
      </c>
      <c r="CF198" t="s">
        <v>140</v>
      </c>
      <c r="CG198" t="s">
        <v>140</v>
      </c>
      <c r="CH198" t="s">
        <v>140</v>
      </c>
      <c r="CI198" t="s">
        <v>140</v>
      </c>
      <c r="CJ198" t="s">
        <v>140</v>
      </c>
      <c r="CK198" t="s">
        <v>140</v>
      </c>
      <c r="CL198" t="s">
        <v>140</v>
      </c>
      <c r="CM198" t="s">
        <v>140</v>
      </c>
      <c r="CN198" t="s">
        <v>140</v>
      </c>
      <c r="CO198" t="s">
        <v>140</v>
      </c>
      <c r="CP198" t="s">
        <v>140</v>
      </c>
      <c r="CQ198" t="s">
        <v>140</v>
      </c>
      <c r="CR198" t="s">
        <v>140</v>
      </c>
      <c r="CS198" t="s">
        <v>140</v>
      </c>
      <c r="CT198" t="s">
        <v>140</v>
      </c>
      <c r="CU198" t="s">
        <v>140</v>
      </c>
      <c r="CV198" t="s">
        <v>140</v>
      </c>
      <c r="CW198" t="s">
        <v>140</v>
      </c>
      <c r="CX198" t="s">
        <v>140</v>
      </c>
      <c r="CY198" t="s">
        <v>140</v>
      </c>
      <c r="CZ198" t="s">
        <v>140</v>
      </c>
      <c r="DA198" t="s">
        <v>140</v>
      </c>
      <c r="DB198" t="s">
        <v>140</v>
      </c>
      <c r="DC198" s="1">
        <v>0</v>
      </c>
      <c r="DD198" s="1">
        <v>0</v>
      </c>
      <c r="DE198" s="1">
        <v>1.22</v>
      </c>
      <c r="DF198" s="1">
        <v>1.1399999999999999</v>
      </c>
      <c r="DG198" s="1">
        <v>0</v>
      </c>
      <c r="DH198" s="1">
        <v>1.02</v>
      </c>
      <c r="DI198" s="1">
        <v>1.23</v>
      </c>
      <c r="DJ198" s="1">
        <v>0.99</v>
      </c>
      <c r="DK198" s="1">
        <v>0.94</v>
      </c>
      <c r="DL198" s="1">
        <v>1.04</v>
      </c>
      <c r="DM198" s="1">
        <v>1.19</v>
      </c>
      <c r="DN198" s="1">
        <v>1.19</v>
      </c>
      <c r="DO198" s="1">
        <v>1</v>
      </c>
      <c r="DP198" s="1">
        <v>0.91</v>
      </c>
      <c r="DQ198" s="1">
        <v>0.93</v>
      </c>
      <c r="DR198" s="1">
        <v>0.93</v>
      </c>
      <c r="DS198" s="1">
        <v>0.78</v>
      </c>
      <c r="DT198" s="1">
        <v>0.81</v>
      </c>
      <c r="DU198" s="1">
        <v>0.98</v>
      </c>
      <c r="DV198" s="1">
        <v>0.87</v>
      </c>
      <c r="DW198" s="1">
        <v>0.94</v>
      </c>
      <c r="DX198" s="1">
        <v>0.81</v>
      </c>
      <c r="DY198" s="1">
        <v>0.9</v>
      </c>
      <c r="DZ198" s="1">
        <v>1.03</v>
      </c>
      <c r="EA198" s="1">
        <v>0.95</v>
      </c>
      <c r="EB198" s="1">
        <v>0.85</v>
      </c>
      <c r="EC198" s="1">
        <v>0.84</v>
      </c>
      <c r="ED198" s="1">
        <v>0.93</v>
      </c>
    </row>
    <row r="199" spans="1:134" x14ac:dyDescent="0.25">
      <c r="A199" t="s">
        <v>313</v>
      </c>
      <c r="B199" s="1">
        <v>0.99</v>
      </c>
      <c r="C199" s="1">
        <v>1.05</v>
      </c>
      <c r="D199" s="1">
        <v>1.19</v>
      </c>
      <c r="E199" s="1">
        <v>0.92</v>
      </c>
      <c r="F199" s="1">
        <v>0.93</v>
      </c>
      <c r="G199" s="1">
        <v>0.81</v>
      </c>
      <c r="H199" s="1">
        <v>0.87</v>
      </c>
      <c r="I199" s="1">
        <v>0.81</v>
      </c>
      <c r="J199" s="1">
        <v>1.03</v>
      </c>
      <c r="K199" s="1">
        <v>0.85</v>
      </c>
      <c r="L199" s="1">
        <v>0.93</v>
      </c>
      <c r="M199" s="1">
        <v>0.9</v>
      </c>
      <c r="N199" t="s">
        <v>141</v>
      </c>
      <c r="O199" t="s">
        <v>140</v>
      </c>
      <c r="P199" t="s">
        <v>140</v>
      </c>
      <c r="Q199" t="s">
        <v>140</v>
      </c>
      <c r="R199" t="s">
        <v>140</v>
      </c>
      <c r="S199" t="s">
        <v>140</v>
      </c>
      <c r="T199" t="s">
        <v>140</v>
      </c>
      <c r="U199" t="s">
        <v>140</v>
      </c>
      <c r="V199" t="s">
        <v>140</v>
      </c>
      <c r="W199" t="s">
        <v>140</v>
      </c>
      <c r="X199" t="s">
        <v>140</v>
      </c>
      <c r="Y199" t="s">
        <v>140</v>
      </c>
      <c r="Z199" t="s">
        <v>140</v>
      </c>
      <c r="AA199" t="s">
        <v>140</v>
      </c>
      <c r="AB199" t="s">
        <v>140</v>
      </c>
      <c r="AC199" t="s">
        <v>140</v>
      </c>
      <c r="AD199" t="s">
        <v>140</v>
      </c>
      <c r="AE199" t="s">
        <v>140</v>
      </c>
      <c r="AF199" t="s">
        <v>140</v>
      </c>
      <c r="AG199" t="s">
        <v>140</v>
      </c>
      <c r="AH199" t="s">
        <v>140</v>
      </c>
      <c r="AI199" t="s">
        <v>140</v>
      </c>
      <c r="AJ199" t="s">
        <v>140</v>
      </c>
      <c r="AK199" t="s">
        <v>140</v>
      </c>
      <c r="AL199" t="s">
        <v>140</v>
      </c>
      <c r="AM199" t="s">
        <v>140</v>
      </c>
      <c r="AN199" t="s">
        <v>140</v>
      </c>
      <c r="AO199" t="s">
        <v>140</v>
      </c>
      <c r="AP199" t="s">
        <v>140</v>
      </c>
      <c r="AQ199" t="s">
        <v>140</v>
      </c>
      <c r="AR199" t="s">
        <v>140</v>
      </c>
      <c r="AS199" t="s">
        <v>140</v>
      </c>
      <c r="AT199" t="s">
        <v>140</v>
      </c>
      <c r="AU199" t="s">
        <v>140</v>
      </c>
      <c r="AV199" t="s">
        <v>140</v>
      </c>
      <c r="AW199" t="s">
        <v>140</v>
      </c>
      <c r="AX199" t="s">
        <v>140</v>
      </c>
      <c r="AY199" t="s">
        <v>140</v>
      </c>
      <c r="AZ199" t="s">
        <v>140</v>
      </c>
      <c r="BA199" t="s">
        <v>140</v>
      </c>
      <c r="BB199" t="s">
        <v>140</v>
      </c>
      <c r="BC199" t="s">
        <v>140</v>
      </c>
      <c r="BD199" t="s">
        <v>140</v>
      </c>
      <c r="BE199" t="s">
        <v>140</v>
      </c>
      <c r="BF199" t="s">
        <v>140</v>
      </c>
      <c r="BG199" t="s">
        <v>140</v>
      </c>
      <c r="BH199" t="s">
        <v>140</v>
      </c>
      <c r="BI199" t="s">
        <v>140</v>
      </c>
      <c r="BJ199" t="s">
        <v>140</v>
      </c>
      <c r="BK199" t="s">
        <v>140</v>
      </c>
      <c r="BL199" t="s">
        <v>140</v>
      </c>
      <c r="BM199" t="s">
        <v>140</v>
      </c>
      <c r="BN199" t="s">
        <v>140</v>
      </c>
      <c r="BO199" t="s">
        <v>140</v>
      </c>
      <c r="BP199" t="s">
        <v>140</v>
      </c>
      <c r="BQ199" t="s">
        <v>140</v>
      </c>
      <c r="BR199" t="s">
        <v>140</v>
      </c>
      <c r="BS199" t="s">
        <v>140</v>
      </c>
      <c r="BT199" t="s">
        <v>140</v>
      </c>
      <c r="BU199" t="s">
        <v>140</v>
      </c>
      <c r="BV199" t="s">
        <v>140</v>
      </c>
      <c r="BW199" t="s">
        <v>140</v>
      </c>
      <c r="BX199" t="s">
        <v>140</v>
      </c>
      <c r="BY199" t="s">
        <v>140</v>
      </c>
      <c r="BZ199" t="s">
        <v>140</v>
      </c>
      <c r="CA199" t="s">
        <v>140</v>
      </c>
      <c r="CB199" t="s">
        <v>140</v>
      </c>
      <c r="CC199" t="s">
        <v>140</v>
      </c>
      <c r="CD199" t="s">
        <v>140</v>
      </c>
      <c r="CE199" t="s">
        <v>140</v>
      </c>
      <c r="CF199" t="s">
        <v>140</v>
      </c>
      <c r="CG199" t="s">
        <v>140</v>
      </c>
      <c r="CH199" t="s">
        <v>140</v>
      </c>
      <c r="CI199" t="s">
        <v>140</v>
      </c>
      <c r="CJ199" t="s">
        <v>140</v>
      </c>
      <c r="CK199" t="s">
        <v>140</v>
      </c>
      <c r="CL199" t="s">
        <v>140</v>
      </c>
      <c r="CM199" t="s">
        <v>140</v>
      </c>
      <c r="CN199" t="s">
        <v>140</v>
      </c>
      <c r="CO199" t="s">
        <v>140</v>
      </c>
      <c r="CP199" t="s">
        <v>140</v>
      </c>
      <c r="CQ199" t="s">
        <v>140</v>
      </c>
      <c r="CR199" t="s">
        <v>140</v>
      </c>
      <c r="CS199" t="s">
        <v>140</v>
      </c>
      <c r="CT199" t="s">
        <v>140</v>
      </c>
      <c r="CU199" t="s">
        <v>140</v>
      </c>
      <c r="CV199" t="s">
        <v>140</v>
      </c>
      <c r="CW199" t="s">
        <v>140</v>
      </c>
      <c r="CX199" t="s">
        <v>140</v>
      </c>
      <c r="CY199" t="s">
        <v>140</v>
      </c>
      <c r="CZ199" t="s">
        <v>140</v>
      </c>
      <c r="DA199" t="s">
        <v>140</v>
      </c>
      <c r="DB199" t="s">
        <v>140</v>
      </c>
      <c r="DC199" s="1">
        <v>0</v>
      </c>
      <c r="DD199" s="1">
        <v>0</v>
      </c>
      <c r="DE199" s="1">
        <v>1.4</v>
      </c>
      <c r="DF199" s="1">
        <v>1.32</v>
      </c>
      <c r="DG199" s="1">
        <v>0</v>
      </c>
      <c r="DH199" s="1">
        <v>1.03</v>
      </c>
      <c r="DI199" s="1">
        <v>1.36</v>
      </c>
      <c r="DJ199" s="1">
        <v>0.99</v>
      </c>
      <c r="DK199" s="1">
        <v>0.95</v>
      </c>
      <c r="DL199" s="1">
        <v>1.05</v>
      </c>
      <c r="DM199" s="1">
        <v>1.2</v>
      </c>
      <c r="DN199" s="1">
        <v>1.19</v>
      </c>
      <c r="DO199" s="1">
        <v>1</v>
      </c>
      <c r="DP199" s="1">
        <v>0.92</v>
      </c>
      <c r="DQ199" s="1">
        <v>0.93</v>
      </c>
      <c r="DR199" s="1">
        <v>0.93</v>
      </c>
      <c r="DS199" s="1">
        <v>0.79</v>
      </c>
      <c r="DT199" s="1">
        <v>0.81</v>
      </c>
      <c r="DU199" s="1">
        <v>0.98</v>
      </c>
      <c r="DV199" s="1">
        <v>0.87</v>
      </c>
      <c r="DW199" s="1">
        <v>0.95</v>
      </c>
      <c r="DX199" s="1">
        <v>0.81</v>
      </c>
      <c r="DY199" s="1">
        <v>0.9</v>
      </c>
      <c r="DZ199" s="1">
        <v>1.03</v>
      </c>
      <c r="EA199" s="1">
        <v>0.96</v>
      </c>
      <c r="EB199" s="1">
        <v>0.85</v>
      </c>
      <c r="EC199" s="1">
        <v>0.85</v>
      </c>
      <c r="ED199" s="1">
        <v>0.93</v>
      </c>
    </row>
    <row r="200" spans="1:134" x14ac:dyDescent="0.25">
      <c r="A200" t="s">
        <v>314</v>
      </c>
      <c r="B200" s="1">
        <v>16.13</v>
      </c>
      <c r="C200" s="1">
        <v>17.37</v>
      </c>
      <c r="D200" s="1">
        <v>23.11</v>
      </c>
      <c r="E200" s="1">
        <v>18.95</v>
      </c>
      <c r="F200" s="1">
        <v>22.81</v>
      </c>
      <c r="G200" s="1">
        <v>18.43</v>
      </c>
      <c r="H200" s="1">
        <v>20.149999999999999</v>
      </c>
      <c r="I200" s="1">
        <v>22.88</v>
      </c>
      <c r="J200" s="1">
        <v>33.130000000000003</v>
      </c>
      <c r="K200" s="1">
        <v>22.93</v>
      </c>
      <c r="L200" s="1">
        <v>20.78</v>
      </c>
      <c r="M200" s="1">
        <v>20</v>
      </c>
      <c r="N200" t="s">
        <v>141</v>
      </c>
      <c r="O200" t="s">
        <v>140</v>
      </c>
      <c r="P200" t="s">
        <v>140</v>
      </c>
      <c r="Q200" t="s">
        <v>140</v>
      </c>
      <c r="R200" t="s">
        <v>140</v>
      </c>
      <c r="S200" t="s">
        <v>140</v>
      </c>
      <c r="T200" t="s">
        <v>140</v>
      </c>
      <c r="U200" t="s">
        <v>140</v>
      </c>
      <c r="V200" t="s">
        <v>140</v>
      </c>
      <c r="W200" t="s">
        <v>140</v>
      </c>
      <c r="X200" t="s">
        <v>140</v>
      </c>
      <c r="Y200" t="s">
        <v>140</v>
      </c>
      <c r="Z200" t="s">
        <v>140</v>
      </c>
      <c r="AA200" t="s">
        <v>140</v>
      </c>
      <c r="AB200" t="s">
        <v>140</v>
      </c>
      <c r="AC200" t="s">
        <v>140</v>
      </c>
      <c r="AD200" t="s">
        <v>140</v>
      </c>
      <c r="AE200" t="s">
        <v>140</v>
      </c>
      <c r="AF200" t="s">
        <v>140</v>
      </c>
      <c r="AG200" t="s">
        <v>140</v>
      </c>
      <c r="AH200" t="s">
        <v>140</v>
      </c>
      <c r="AI200" t="s">
        <v>140</v>
      </c>
      <c r="AJ200" t="s">
        <v>140</v>
      </c>
      <c r="AK200" t="s">
        <v>140</v>
      </c>
      <c r="AL200" t="s">
        <v>140</v>
      </c>
      <c r="AM200" t="s">
        <v>140</v>
      </c>
      <c r="AN200" t="s">
        <v>140</v>
      </c>
      <c r="AO200" t="s">
        <v>140</v>
      </c>
      <c r="AP200" t="s">
        <v>140</v>
      </c>
      <c r="AQ200" t="s">
        <v>140</v>
      </c>
      <c r="AR200" t="s">
        <v>140</v>
      </c>
      <c r="AS200" t="s">
        <v>140</v>
      </c>
      <c r="AT200" t="s">
        <v>140</v>
      </c>
      <c r="AU200" t="s">
        <v>140</v>
      </c>
      <c r="AV200" t="s">
        <v>140</v>
      </c>
      <c r="AW200" t="s">
        <v>140</v>
      </c>
      <c r="AX200" t="s">
        <v>140</v>
      </c>
      <c r="AY200" t="s">
        <v>140</v>
      </c>
      <c r="AZ200" t="s">
        <v>140</v>
      </c>
      <c r="BA200" t="s">
        <v>140</v>
      </c>
      <c r="BB200" t="s">
        <v>140</v>
      </c>
      <c r="BC200" t="s">
        <v>140</v>
      </c>
      <c r="BD200" t="s">
        <v>140</v>
      </c>
      <c r="BE200" t="s">
        <v>140</v>
      </c>
      <c r="BF200" t="s">
        <v>140</v>
      </c>
      <c r="BG200" t="s">
        <v>140</v>
      </c>
      <c r="BH200" t="s">
        <v>140</v>
      </c>
      <c r="BI200" t="s">
        <v>140</v>
      </c>
      <c r="BJ200" t="s">
        <v>140</v>
      </c>
      <c r="BK200" t="s">
        <v>140</v>
      </c>
      <c r="BL200" t="s">
        <v>140</v>
      </c>
      <c r="BM200" t="s">
        <v>140</v>
      </c>
      <c r="BN200" t="s">
        <v>140</v>
      </c>
      <c r="BO200" t="s">
        <v>140</v>
      </c>
      <c r="BP200" t="s">
        <v>140</v>
      </c>
      <c r="BQ200" t="s">
        <v>140</v>
      </c>
      <c r="BR200" t="s">
        <v>140</v>
      </c>
      <c r="BS200" t="s">
        <v>140</v>
      </c>
      <c r="BT200" t="s">
        <v>140</v>
      </c>
      <c r="BU200" t="s">
        <v>140</v>
      </c>
      <c r="BV200" t="s">
        <v>140</v>
      </c>
      <c r="BW200" t="s">
        <v>140</v>
      </c>
      <c r="BX200" t="s">
        <v>140</v>
      </c>
      <c r="BY200" t="s">
        <v>140</v>
      </c>
      <c r="BZ200" t="s">
        <v>140</v>
      </c>
      <c r="CA200" t="s">
        <v>140</v>
      </c>
      <c r="CB200" t="s">
        <v>140</v>
      </c>
      <c r="CC200" t="s">
        <v>140</v>
      </c>
      <c r="CD200" t="s">
        <v>140</v>
      </c>
      <c r="CE200" t="s">
        <v>140</v>
      </c>
      <c r="CF200" t="s">
        <v>140</v>
      </c>
      <c r="CG200" t="s">
        <v>140</v>
      </c>
      <c r="CH200" t="s">
        <v>140</v>
      </c>
      <c r="CI200" t="s">
        <v>140</v>
      </c>
      <c r="CJ200" t="s">
        <v>140</v>
      </c>
      <c r="CK200" t="s">
        <v>140</v>
      </c>
      <c r="CL200" t="s">
        <v>140</v>
      </c>
      <c r="CM200" t="s">
        <v>140</v>
      </c>
      <c r="CN200" t="s">
        <v>140</v>
      </c>
      <c r="CO200" t="s">
        <v>140</v>
      </c>
      <c r="CP200" t="s">
        <v>140</v>
      </c>
      <c r="CQ200" t="s">
        <v>140</v>
      </c>
      <c r="CR200" t="s">
        <v>140</v>
      </c>
      <c r="CS200" t="s">
        <v>140</v>
      </c>
      <c r="CT200" t="s">
        <v>140</v>
      </c>
      <c r="CU200" t="s">
        <v>140</v>
      </c>
      <c r="CV200" t="s">
        <v>140</v>
      </c>
      <c r="CW200" t="s">
        <v>140</v>
      </c>
      <c r="CX200" t="s">
        <v>140</v>
      </c>
      <c r="CY200" t="s">
        <v>140</v>
      </c>
      <c r="CZ200" t="s">
        <v>140</v>
      </c>
      <c r="DA200" t="s">
        <v>140</v>
      </c>
      <c r="DB200" t="s">
        <v>140</v>
      </c>
      <c r="DC200" s="1">
        <v>0</v>
      </c>
      <c r="DD200" s="1">
        <v>0</v>
      </c>
      <c r="DE200" s="1">
        <v>18.45</v>
      </c>
      <c r="DF200" s="1">
        <v>16.22</v>
      </c>
      <c r="DG200" s="1">
        <v>0</v>
      </c>
      <c r="DH200" s="1">
        <v>18.170000000000002</v>
      </c>
      <c r="DI200" s="1">
        <v>0</v>
      </c>
      <c r="DJ200" s="1">
        <v>16.13</v>
      </c>
      <c r="DK200" s="1">
        <v>0</v>
      </c>
      <c r="DL200" s="1">
        <v>17.37</v>
      </c>
      <c r="DM200" s="1">
        <v>0</v>
      </c>
      <c r="DN200" s="1">
        <v>23.11</v>
      </c>
      <c r="DO200" s="1">
        <v>0</v>
      </c>
      <c r="DP200" s="1">
        <v>18.95</v>
      </c>
      <c r="DQ200" s="1">
        <v>0</v>
      </c>
      <c r="DR200" s="1">
        <v>22.81</v>
      </c>
      <c r="DS200" s="1">
        <v>0</v>
      </c>
      <c r="DT200" s="1">
        <v>18.43</v>
      </c>
      <c r="DU200" s="1">
        <v>0</v>
      </c>
      <c r="DV200" s="1">
        <v>20.149999999999999</v>
      </c>
      <c r="DW200" s="1">
        <v>0</v>
      </c>
      <c r="DX200" s="1">
        <v>22.88</v>
      </c>
      <c r="DY200" s="1">
        <v>0</v>
      </c>
      <c r="DZ200" s="1">
        <v>33.130000000000003</v>
      </c>
      <c r="EA200" s="1">
        <v>0</v>
      </c>
      <c r="EB200" s="1">
        <v>22.93</v>
      </c>
      <c r="EC200" s="1">
        <v>0</v>
      </c>
      <c r="ED200" s="1">
        <v>20.78</v>
      </c>
    </row>
    <row r="201" spans="1:134" x14ac:dyDescent="0.25">
      <c r="A201" t="s">
        <v>315</v>
      </c>
      <c r="B201" s="1">
        <v>16.04</v>
      </c>
      <c r="C201" s="1">
        <v>17.239999999999998</v>
      </c>
      <c r="D201" s="1">
        <v>22.98</v>
      </c>
      <c r="E201" s="1">
        <v>18.88</v>
      </c>
      <c r="F201" s="1">
        <v>22.69</v>
      </c>
      <c r="G201" s="1">
        <v>18.37</v>
      </c>
      <c r="H201" s="1">
        <v>20.02</v>
      </c>
      <c r="I201" s="1">
        <v>22.74</v>
      </c>
      <c r="J201" s="1">
        <v>32.86</v>
      </c>
      <c r="K201" s="1">
        <v>20.9</v>
      </c>
      <c r="L201" s="1">
        <v>20.68</v>
      </c>
      <c r="M201" s="1">
        <v>19.899999999999999</v>
      </c>
      <c r="N201" t="s">
        <v>141</v>
      </c>
      <c r="O201" t="s">
        <v>140</v>
      </c>
      <c r="P201" t="s">
        <v>140</v>
      </c>
      <c r="Q201" t="s">
        <v>140</v>
      </c>
      <c r="R201" t="s">
        <v>140</v>
      </c>
      <c r="S201" t="s">
        <v>140</v>
      </c>
      <c r="T201" t="s">
        <v>140</v>
      </c>
      <c r="U201" t="s">
        <v>140</v>
      </c>
      <c r="V201" t="s">
        <v>140</v>
      </c>
      <c r="W201" t="s">
        <v>140</v>
      </c>
      <c r="X201" t="s">
        <v>140</v>
      </c>
      <c r="Y201" t="s">
        <v>140</v>
      </c>
      <c r="Z201" t="s">
        <v>140</v>
      </c>
      <c r="AA201" t="s">
        <v>140</v>
      </c>
      <c r="AB201" t="s">
        <v>140</v>
      </c>
      <c r="AC201" t="s">
        <v>140</v>
      </c>
      <c r="AD201" t="s">
        <v>140</v>
      </c>
      <c r="AE201" t="s">
        <v>140</v>
      </c>
      <c r="AF201" t="s">
        <v>140</v>
      </c>
      <c r="AG201" t="s">
        <v>140</v>
      </c>
      <c r="AH201" t="s">
        <v>140</v>
      </c>
      <c r="AI201" t="s">
        <v>140</v>
      </c>
      <c r="AJ201" t="s">
        <v>140</v>
      </c>
      <c r="AK201" t="s">
        <v>140</v>
      </c>
      <c r="AL201" t="s">
        <v>140</v>
      </c>
      <c r="AM201" t="s">
        <v>140</v>
      </c>
      <c r="AN201" t="s">
        <v>140</v>
      </c>
      <c r="AO201" t="s">
        <v>140</v>
      </c>
      <c r="AP201" t="s">
        <v>140</v>
      </c>
      <c r="AQ201" t="s">
        <v>140</v>
      </c>
      <c r="AR201" t="s">
        <v>140</v>
      </c>
      <c r="AS201" t="s">
        <v>140</v>
      </c>
      <c r="AT201" t="s">
        <v>140</v>
      </c>
      <c r="AU201" t="s">
        <v>140</v>
      </c>
      <c r="AV201" t="s">
        <v>140</v>
      </c>
      <c r="AW201" t="s">
        <v>140</v>
      </c>
      <c r="AX201" t="s">
        <v>140</v>
      </c>
      <c r="AY201" t="s">
        <v>140</v>
      </c>
      <c r="AZ201" t="s">
        <v>140</v>
      </c>
      <c r="BA201" t="s">
        <v>140</v>
      </c>
      <c r="BB201" t="s">
        <v>140</v>
      </c>
      <c r="BC201" t="s">
        <v>140</v>
      </c>
      <c r="BD201" t="s">
        <v>140</v>
      </c>
      <c r="BE201" t="s">
        <v>140</v>
      </c>
      <c r="BF201" t="s">
        <v>140</v>
      </c>
      <c r="BG201" t="s">
        <v>140</v>
      </c>
      <c r="BH201" t="s">
        <v>140</v>
      </c>
      <c r="BI201" t="s">
        <v>140</v>
      </c>
      <c r="BJ201" t="s">
        <v>140</v>
      </c>
      <c r="BK201" t="s">
        <v>140</v>
      </c>
      <c r="BL201" t="s">
        <v>140</v>
      </c>
      <c r="BM201" t="s">
        <v>140</v>
      </c>
      <c r="BN201" t="s">
        <v>140</v>
      </c>
      <c r="BO201" t="s">
        <v>140</v>
      </c>
      <c r="BP201" t="s">
        <v>140</v>
      </c>
      <c r="BQ201" t="s">
        <v>140</v>
      </c>
      <c r="BR201" t="s">
        <v>140</v>
      </c>
      <c r="BS201" t="s">
        <v>140</v>
      </c>
      <c r="BT201" t="s">
        <v>140</v>
      </c>
      <c r="BU201" t="s">
        <v>140</v>
      </c>
      <c r="BV201" t="s">
        <v>140</v>
      </c>
      <c r="BW201" t="s">
        <v>140</v>
      </c>
      <c r="BX201" t="s">
        <v>140</v>
      </c>
      <c r="BY201" t="s">
        <v>140</v>
      </c>
      <c r="BZ201" t="s">
        <v>140</v>
      </c>
      <c r="CA201" t="s">
        <v>140</v>
      </c>
      <c r="CB201" t="s">
        <v>140</v>
      </c>
      <c r="CC201" t="s">
        <v>140</v>
      </c>
      <c r="CD201" t="s">
        <v>140</v>
      </c>
      <c r="CE201" t="s">
        <v>140</v>
      </c>
      <c r="CF201" t="s">
        <v>140</v>
      </c>
      <c r="CG201" t="s">
        <v>140</v>
      </c>
      <c r="CH201" t="s">
        <v>140</v>
      </c>
      <c r="CI201" t="s">
        <v>140</v>
      </c>
      <c r="CJ201" t="s">
        <v>140</v>
      </c>
      <c r="CK201" t="s">
        <v>140</v>
      </c>
      <c r="CL201" t="s">
        <v>140</v>
      </c>
      <c r="CM201" t="s">
        <v>140</v>
      </c>
      <c r="CN201" t="s">
        <v>140</v>
      </c>
      <c r="CO201" t="s">
        <v>140</v>
      </c>
      <c r="CP201" t="s">
        <v>140</v>
      </c>
      <c r="CQ201" t="s">
        <v>140</v>
      </c>
      <c r="CR201" t="s">
        <v>140</v>
      </c>
      <c r="CS201" t="s">
        <v>140</v>
      </c>
      <c r="CT201" t="s">
        <v>140</v>
      </c>
      <c r="CU201" t="s">
        <v>140</v>
      </c>
      <c r="CV201" t="s">
        <v>140</v>
      </c>
      <c r="CW201" t="s">
        <v>140</v>
      </c>
      <c r="CX201" t="s">
        <v>140</v>
      </c>
      <c r="CY201" t="s">
        <v>140</v>
      </c>
      <c r="CZ201" t="s">
        <v>140</v>
      </c>
      <c r="DA201" t="s">
        <v>140</v>
      </c>
      <c r="DB201" t="s">
        <v>140</v>
      </c>
      <c r="DC201" s="1">
        <v>0</v>
      </c>
      <c r="DD201" s="1">
        <v>0</v>
      </c>
      <c r="DE201" s="1">
        <v>14.82</v>
      </c>
      <c r="DF201" s="1">
        <v>11.46</v>
      </c>
      <c r="DG201" s="1">
        <v>0</v>
      </c>
      <c r="DH201" s="1">
        <v>13.59</v>
      </c>
      <c r="DI201" s="1">
        <v>0</v>
      </c>
      <c r="DJ201" s="1">
        <v>16.04</v>
      </c>
      <c r="DK201" s="1">
        <v>0</v>
      </c>
      <c r="DL201" s="1">
        <v>17.239999999999998</v>
      </c>
      <c r="DM201" s="1">
        <v>0</v>
      </c>
      <c r="DN201" s="1">
        <v>22.98</v>
      </c>
      <c r="DO201" s="1">
        <v>0</v>
      </c>
      <c r="DP201" s="1">
        <v>18.88</v>
      </c>
      <c r="DQ201" s="1">
        <v>0</v>
      </c>
      <c r="DR201" s="1">
        <v>22.69</v>
      </c>
      <c r="DS201" s="1">
        <v>0</v>
      </c>
      <c r="DT201" s="1">
        <v>18.37</v>
      </c>
      <c r="DU201" s="1">
        <v>0</v>
      </c>
      <c r="DV201" s="1">
        <v>20.02</v>
      </c>
      <c r="DW201" s="1">
        <v>0</v>
      </c>
      <c r="DX201" s="1">
        <v>22.74</v>
      </c>
      <c r="DY201" s="1">
        <v>0</v>
      </c>
      <c r="DZ201" s="1">
        <v>32.86</v>
      </c>
      <c r="EA201" s="1">
        <v>0</v>
      </c>
      <c r="EB201" s="1">
        <v>20.9</v>
      </c>
      <c r="EC201" s="1">
        <v>0</v>
      </c>
      <c r="ED201" s="1">
        <v>20.68</v>
      </c>
    </row>
    <row r="202" spans="1:134" x14ac:dyDescent="0.25">
      <c r="A202" t="s">
        <v>6</v>
      </c>
      <c r="B202" s="1">
        <v>10.09</v>
      </c>
      <c r="C202" s="1">
        <v>10.96</v>
      </c>
      <c r="D202" s="1">
        <v>14.83</v>
      </c>
      <c r="E202" s="1">
        <v>12.29</v>
      </c>
      <c r="F202" s="1">
        <v>14.26</v>
      </c>
      <c r="G202" s="1">
        <v>11.94</v>
      </c>
      <c r="H202" s="1">
        <v>13.15</v>
      </c>
      <c r="I202" s="1">
        <v>14.72</v>
      </c>
      <c r="J202" s="1">
        <v>19.45</v>
      </c>
      <c r="K202" s="1">
        <v>12.85</v>
      </c>
      <c r="L202" s="1">
        <v>13.62</v>
      </c>
      <c r="M202" s="1">
        <v>13.11</v>
      </c>
      <c r="N202" t="s">
        <v>141</v>
      </c>
      <c r="O202" t="s">
        <v>140</v>
      </c>
      <c r="P202" t="s">
        <v>140</v>
      </c>
      <c r="Q202" t="s">
        <v>140</v>
      </c>
      <c r="R202" t="s">
        <v>140</v>
      </c>
      <c r="S202" t="s">
        <v>140</v>
      </c>
      <c r="T202" t="s">
        <v>140</v>
      </c>
      <c r="U202" t="s">
        <v>140</v>
      </c>
      <c r="V202" t="s">
        <v>140</v>
      </c>
      <c r="W202" t="s">
        <v>140</v>
      </c>
      <c r="X202" t="s">
        <v>140</v>
      </c>
      <c r="Y202" t="s">
        <v>140</v>
      </c>
      <c r="Z202" t="s">
        <v>140</v>
      </c>
      <c r="AA202" t="s">
        <v>140</v>
      </c>
      <c r="AB202" t="s">
        <v>140</v>
      </c>
      <c r="AC202" t="s">
        <v>140</v>
      </c>
      <c r="AD202" t="s">
        <v>140</v>
      </c>
      <c r="AE202" t="s">
        <v>140</v>
      </c>
      <c r="AF202" t="s">
        <v>140</v>
      </c>
      <c r="AG202" t="s">
        <v>140</v>
      </c>
      <c r="AH202" t="s">
        <v>140</v>
      </c>
      <c r="AI202" t="s">
        <v>140</v>
      </c>
      <c r="AJ202" t="s">
        <v>140</v>
      </c>
      <c r="AK202" t="s">
        <v>140</v>
      </c>
      <c r="AL202" t="s">
        <v>140</v>
      </c>
      <c r="AM202" t="s">
        <v>140</v>
      </c>
      <c r="AN202" t="s">
        <v>140</v>
      </c>
      <c r="AO202" t="s">
        <v>140</v>
      </c>
      <c r="AP202" t="s">
        <v>140</v>
      </c>
      <c r="AQ202" t="s">
        <v>140</v>
      </c>
      <c r="AR202" t="s">
        <v>140</v>
      </c>
      <c r="AS202" t="s">
        <v>140</v>
      </c>
      <c r="AT202" t="s">
        <v>140</v>
      </c>
      <c r="AU202" t="s">
        <v>140</v>
      </c>
      <c r="AV202" t="s">
        <v>140</v>
      </c>
      <c r="AW202" t="s">
        <v>140</v>
      </c>
      <c r="AX202" t="s">
        <v>140</v>
      </c>
      <c r="AY202" t="s">
        <v>140</v>
      </c>
      <c r="AZ202" t="s">
        <v>140</v>
      </c>
      <c r="BA202" t="s">
        <v>140</v>
      </c>
      <c r="BB202" t="s">
        <v>140</v>
      </c>
      <c r="BC202" t="s">
        <v>140</v>
      </c>
      <c r="BD202" t="s">
        <v>140</v>
      </c>
      <c r="BE202" t="s">
        <v>140</v>
      </c>
      <c r="BF202" t="s">
        <v>140</v>
      </c>
      <c r="BG202" t="s">
        <v>140</v>
      </c>
      <c r="BH202" t="s">
        <v>140</v>
      </c>
      <c r="BI202" t="s">
        <v>140</v>
      </c>
      <c r="BJ202" t="s">
        <v>140</v>
      </c>
      <c r="BK202" t="s">
        <v>140</v>
      </c>
      <c r="BL202" t="s">
        <v>140</v>
      </c>
      <c r="BM202" t="s">
        <v>140</v>
      </c>
      <c r="BN202" t="s">
        <v>140</v>
      </c>
      <c r="BO202" t="s">
        <v>140</v>
      </c>
      <c r="BP202" t="s">
        <v>140</v>
      </c>
      <c r="BQ202" t="s">
        <v>140</v>
      </c>
      <c r="BR202" t="s">
        <v>140</v>
      </c>
      <c r="BS202" t="s">
        <v>140</v>
      </c>
      <c r="BT202" t="s">
        <v>140</v>
      </c>
      <c r="BU202" t="s">
        <v>140</v>
      </c>
      <c r="BV202" t="s">
        <v>140</v>
      </c>
      <c r="BW202" t="s">
        <v>140</v>
      </c>
      <c r="BX202" t="s">
        <v>140</v>
      </c>
      <c r="BY202" t="s">
        <v>140</v>
      </c>
      <c r="BZ202" t="s">
        <v>140</v>
      </c>
      <c r="CA202" t="s">
        <v>140</v>
      </c>
      <c r="CB202" t="s">
        <v>140</v>
      </c>
      <c r="CC202" t="s">
        <v>140</v>
      </c>
      <c r="CD202" t="s">
        <v>140</v>
      </c>
      <c r="CE202" t="s">
        <v>140</v>
      </c>
      <c r="CF202" t="s">
        <v>140</v>
      </c>
      <c r="CG202" t="s">
        <v>140</v>
      </c>
      <c r="CH202" t="s">
        <v>140</v>
      </c>
      <c r="CI202" t="s">
        <v>140</v>
      </c>
      <c r="CJ202" t="s">
        <v>140</v>
      </c>
      <c r="CK202" t="s">
        <v>140</v>
      </c>
      <c r="CL202" t="s">
        <v>140</v>
      </c>
      <c r="CM202" t="s">
        <v>140</v>
      </c>
      <c r="CN202" t="s">
        <v>140</v>
      </c>
      <c r="CO202" t="s">
        <v>140</v>
      </c>
      <c r="CP202" t="s">
        <v>140</v>
      </c>
      <c r="CQ202" t="s">
        <v>140</v>
      </c>
      <c r="CR202" t="s">
        <v>140</v>
      </c>
      <c r="CS202" t="s">
        <v>140</v>
      </c>
      <c r="CT202" t="s">
        <v>140</v>
      </c>
      <c r="CU202" t="s">
        <v>140</v>
      </c>
      <c r="CV202" t="s">
        <v>140</v>
      </c>
      <c r="CW202" t="s">
        <v>140</v>
      </c>
      <c r="CX202" t="s">
        <v>140</v>
      </c>
      <c r="CY202" t="s">
        <v>140</v>
      </c>
      <c r="CZ202" t="s">
        <v>140</v>
      </c>
      <c r="DA202" t="s">
        <v>140</v>
      </c>
      <c r="DB202" t="s">
        <v>140</v>
      </c>
      <c r="DC202" s="1">
        <v>0</v>
      </c>
      <c r="DD202" s="1">
        <v>0</v>
      </c>
      <c r="DE202" s="1">
        <v>8.8800000000000008</v>
      </c>
      <c r="DF202" s="1">
        <v>7.37</v>
      </c>
      <c r="DG202" s="1">
        <v>0</v>
      </c>
      <c r="DH202" s="1">
        <v>8.16</v>
      </c>
      <c r="DI202" s="1">
        <v>0</v>
      </c>
      <c r="DJ202" s="1">
        <v>10.09</v>
      </c>
      <c r="DK202" s="1">
        <v>0</v>
      </c>
      <c r="DL202" s="1">
        <v>10.96</v>
      </c>
      <c r="DM202" s="1">
        <v>0</v>
      </c>
      <c r="DN202" s="1">
        <v>14.83</v>
      </c>
      <c r="DO202" s="1">
        <v>0</v>
      </c>
      <c r="DP202" s="1">
        <v>12.29</v>
      </c>
      <c r="DQ202" s="1">
        <v>0</v>
      </c>
      <c r="DR202" s="1">
        <v>14.26</v>
      </c>
      <c r="DS202" s="1">
        <v>0</v>
      </c>
      <c r="DT202" s="1">
        <v>11.94</v>
      </c>
      <c r="DU202" s="1">
        <v>0</v>
      </c>
      <c r="DV202" s="1">
        <v>13.15</v>
      </c>
      <c r="DW202" s="1">
        <v>0</v>
      </c>
      <c r="DX202" s="1">
        <v>14.72</v>
      </c>
      <c r="DY202" s="1">
        <v>0</v>
      </c>
      <c r="DZ202" s="1">
        <v>19.45</v>
      </c>
      <c r="EA202" s="1">
        <v>0</v>
      </c>
      <c r="EB202" s="1">
        <v>12.85</v>
      </c>
      <c r="EC202" s="1">
        <v>0</v>
      </c>
      <c r="ED202" s="1">
        <v>13.62</v>
      </c>
    </row>
    <row r="203" spans="1:134" x14ac:dyDescent="0.25">
      <c r="A203" t="s">
        <v>316</v>
      </c>
      <c r="B203" s="1">
        <v>0.1</v>
      </c>
      <c r="C203" s="1">
        <v>0.31</v>
      </c>
      <c r="D203" s="1">
        <v>0.14000000000000001</v>
      </c>
      <c r="E203" s="1">
        <v>0.15</v>
      </c>
      <c r="F203" s="1">
        <v>0.28999999999999998</v>
      </c>
      <c r="G203" s="1">
        <v>0.71</v>
      </c>
      <c r="H203" s="1">
        <v>0.8</v>
      </c>
      <c r="I203" s="1">
        <v>0.25</v>
      </c>
      <c r="J203" s="1">
        <v>0.98</v>
      </c>
      <c r="K203" s="1">
        <v>0</v>
      </c>
      <c r="L203" s="1">
        <v>0</v>
      </c>
      <c r="M203" s="1">
        <v>0</v>
      </c>
      <c r="N203" t="s">
        <v>141</v>
      </c>
      <c r="O203" t="s">
        <v>140</v>
      </c>
      <c r="P203" t="s">
        <v>140</v>
      </c>
      <c r="Q203" t="s">
        <v>140</v>
      </c>
      <c r="R203" t="s">
        <v>140</v>
      </c>
      <c r="S203" t="s">
        <v>140</v>
      </c>
      <c r="T203" t="s">
        <v>140</v>
      </c>
      <c r="U203" t="s">
        <v>140</v>
      </c>
      <c r="V203" t="s">
        <v>140</v>
      </c>
      <c r="W203" t="s">
        <v>140</v>
      </c>
      <c r="X203" t="s">
        <v>140</v>
      </c>
      <c r="Y203" t="s">
        <v>140</v>
      </c>
      <c r="Z203" t="s">
        <v>140</v>
      </c>
      <c r="AA203" t="s">
        <v>140</v>
      </c>
      <c r="AB203" t="s">
        <v>140</v>
      </c>
      <c r="AC203" t="s">
        <v>140</v>
      </c>
      <c r="AD203" t="s">
        <v>140</v>
      </c>
      <c r="AE203" t="s">
        <v>140</v>
      </c>
      <c r="AF203" t="s">
        <v>140</v>
      </c>
      <c r="AG203" t="s">
        <v>140</v>
      </c>
      <c r="AH203" t="s">
        <v>140</v>
      </c>
      <c r="AI203" t="s">
        <v>140</v>
      </c>
      <c r="AJ203" t="s">
        <v>140</v>
      </c>
      <c r="AK203" t="s">
        <v>140</v>
      </c>
      <c r="AL203" t="s">
        <v>140</v>
      </c>
      <c r="AM203" t="s">
        <v>140</v>
      </c>
      <c r="AN203" t="s">
        <v>140</v>
      </c>
      <c r="AO203" t="s">
        <v>140</v>
      </c>
      <c r="AP203" t="s">
        <v>140</v>
      </c>
      <c r="AQ203" t="s">
        <v>140</v>
      </c>
      <c r="AR203" t="s">
        <v>140</v>
      </c>
      <c r="AS203" t="s">
        <v>140</v>
      </c>
      <c r="AT203" t="s">
        <v>140</v>
      </c>
      <c r="AU203" t="s">
        <v>140</v>
      </c>
      <c r="AV203" t="s">
        <v>140</v>
      </c>
      <c r="AW203" t="s">
        <v>140</v>
      </c>
      <c r="AX203" t="s">
        <v>140</v>
      </c>
      <c r="AY203" t="s">
        <v>140</v>
      </c>
      <c r="AZ203" t="s">
        <v>140</v>
      </c>
      <c r="BA203" t="s">
        <v>140</v>
      </c>
      <c r="BB203" t="s">
        <v>140</v>
      </c>
      <c r="BC203" t="s">
        <v>140</v>
      </c>
      <c r="BD203" t="s">
        <v>140</v>
      </c>
      <c r="BE203" t="s">
        <v>140</v>
      </c>
      <c r="BF203" t="s">
        <v>140</v>
      </c>
      <c r="BG203" t="s">
        <v>140</v>
      </c>
      <c r="BH203" t="s">
        <v>140</v>
      </c>
      <c r="BI203" t="s">
        <v>140</v>
      </c>
      <c r="BJ203" t="s">
        <v>140</v>
      </c>
      <c r="BK203" t="s">
        <v>140</v>
      </c>
      <c r="BL203" t="s">
        <v>140</v>
      </c>
      <c r="BM203" t="s">
        <v>140</v>
      </c>
      <c r="BN203" t="s">
        <v>140</v>
      </c>
      <c r="BO203" t="s">
        <v>140</v>
      </c>
      <c r="BP203" t="s">
        <v>140</v>
      </c>
      <c r="BQ203" t="s">
        <v>140</v>
      </c>
      <c r="BR203" t="s">
        <v>140</v>
      </c>
      <c r="BS203" t="s">
        <v>140</v>
      </c>
      <c r="BT203" t="s">
        <v>140</v>
      </c>
      <c r="BU203" t="s">
        <v>140</v>
      </c>
      <c r="BV203" t="s">
        <v>140</v>
      </c>
      <c r="BW203" t="s">
        <v>140</v>
      </c>
      <c r="BX203" t="s">
        <v>140</v>
      </c>
      <c r="BY203" t="s">
        <v>140</v>
      </c>
      <c r="BZ203" t="s">
        <v>140</v>
      </c>
      <c r="CA203" t="s">
        <v>140</v>
      </c>
      <c r="CB203" t="s">
        <v>140</v>
      </c>
      <c r="CC203" t="s">
        <v>140</v>
      </c>
      <c r="CD203" t="s">
        <v>140</v>
      </c>
      <c r="CE203" t="s">
        <v>140</v>
      </c>
      <c r="CF203" t="s">
        <v>140</v>
      </c>
      <c r="CG203" t="s">
        <v>140</v>
      </c>
      <c r="CH203" t="s">
        <v>140</v>
      </c>
      <c r="CI203" t="s">
        <v>140</v>
      </c>
      <c r="CJ203" t="s">
        <v>140</v>
      </c>
      <c r="CK203" t="s">
        <v>140</v>
      </c>
      <c r="CL203" t="s">
        <v>140</v>
      </c>
      <c r="CM203" t="s">
        <v>140</v>
      </c>
      <c r="CN203" t="s">
        <v>140</v>
      </c>
      <c r="CO203" t="s">
        <v>140</v>
      </c>
      <c r="CP203" t="s">
        <v>140</v>
      </c>
      <c r="CQ203" t="s">
        <v>140</v>
      </c>
      <c r="CR203" t="s">
        <v>140</v>
      </c>
      <c r="CS203" t="s">
        <v>140</v>
      </c>
      <c r="CT203" t="s">
        <v>140</v>
      </c>
      <c r="CU203" t="s">
        <v>140</v>
      </c>
      <c r="CV203" t="s">
        <v>140</v>
      </c>
      <c r="CW203" t="s">
        <v>140</v>
      </c>
      <c r="CX203" t="s">
        <v>140</v>
      </c>
      <c r="CY203" t="s">
        <v>140</v>
      </c>
      <c r="CZ203" t="s">
        <v>140</v>
      </c>
      <c r="DA203" t="s">
        <v>140</v>
      </c>
      <c r="DB203" t="s">
        <v>140</v>
      </c>
      <c r="DC203" s="1">
        <v>0</v>
      </c>
      <c r="DD203" s="1">
        <v>0</v>
      </c>
      <c r="DE203" s="1">
        <v>0</v>
      </c>
      <c r="DF203" s="1">
        <v>0</v>
      </c>
      <c r="DG203" s="1">
        <v>0</v>
      </c>
      <c r="DH203" s="1">
        <v>0</v>
      </c>
      <c r="DI203" s="1">
        <v>0</v>
      </c>
      <c r="DJ203" s="1">
        <v>0.1</v>
      </c>
      <c r="DK203" s="1">
        <v>0</v>
      </c>
      <c r="DL203" s="1">
        <v>0.31</v>
      </c>
      <c r="DM203" s="1">
        <v>0</v>
      </c>
      <c r="DN203" s="1">
        <v>0.14000000000000001</v>
      </c>
      <c r="DO203" s="1">
        <v>0</v>
      </c>
      <c r="DP203" s="1">
        <v>0.15</v>
      </c>
      <c r="DQ203" s="1">
        <v>0</v>
      </c>
      <c r="DR203" s="1">
        <v>0.28999999999999998</v>
      </c>
      <c r="DS203" s="1">
        <v>0</v>
      </c>
      <c r="DT203" s="1">
        <v>0.71</v>
      </c>
      <c r="DU203" s="1">
        <v>0</v>
      </c>
      <c r="DV203" s="1">
        <v>0.8</v>
      </c>
      <c r="DW203" s="1">
        <v>0</v>
      </c>
      <c r="DX203" s="1">
        <v>0.25</v>
      </c>
      <c r="DY203" s="1">
        <v>0</v>
      </c>
      <c r="DZ203" s="1">
        <v>0.98</v>
      </c>
      <c r="EA203" s="1">
        <v>0</v>
      </c>
      <c r="EB203" s="1">
        <v>0</v>
      </c>
      <c r="EC203" s="1">
        <v>0</v>
      </c>
      <c r="ED203" s="1">
        <v>0</v>
      </c>
    </row>
    <row r="204" spans="1:134" x14ac:dyDescent="0.25">
      <c r="A204" t="s">
        <v>317</v>
      </c>
      <c r="B204" s="1">
        <v>11.93</v>
      </c>
      <c r="C204" s="1">
        <v>12.86</v>
      </c>
      <c r="D204" s="1">
        <v>16.47</v>
      </c>
      <c r="E204" s="1">
        <v>13.68</v>
      </c>
      <c r="F204" s="1">
        <v>15.95</v>
      </c>
      <c r="G204" s="1">
        <v>14.84</v>
      </c>
      <c r="H204" s="1">
        <v>15.94</v>
      </c>
      <c r="I204" s="1">
        <v>15.83</v>
      </c>
      <c r="J204" s="1">
        <v>21.09</v>
      </c>
      <c r="K204" s="1">
        <v>15.15</v>
      </c>
      <c r="L204" s="1">
        <v>17.079999999999998</v>
      </c>
      <c r="M204" s="1">
        <v>16.75</v>
      </c>
      <c r="N204" t="s">
        <v>141</v>
      </c>
      <c r="O204" t="s">
        <v>140</v>
      </c>
      <c r="P204" t="s">
        <v>140</v>
      </c>
      <c r="Q204" t="s">
        <v>140</v>
      </c>
      <c r="R204" t="s">
        <v>140</v>
      </c>
      <c r="S204" t="s">
        <v>140</v>
      </c>
      <c r="T204" t="s">
        <v>140</v>
      </c>
      <c r="U204" t="s">
        <v>140</v>
      </c>
      <c r="V204" t="s">
        <v>140</v>
      </c>
      <c r="W204" t="s">
        <v>140</v>
      </c>
      <c r="X204" t="s">
        <v>140</v>
      </c>
      <c r="Y204" t="s">
        <v>140</v>
      </c>
      <c r="Z204" t="s">
        <v>140</v>
      </c>
      <c r="AA204" t="s">
        <v>140</v>
      </c>
      <c r="AB204" t="s">
        <v>140</v>
      </c>
      <c r="AC204" t="s">
        <v>140</v>
      </c>
      <c r="AD204" t="s">
        <v>140</v>
      </c>
      <c r="AE204" t="s">
        <v>140</v>
      </c>
      <c r="AF204" t="s">
        <v>140</v>
      </c>
      <c r="AG204" t="s">
        <v>140</v>
      </c>
      <c r="AH204" t="s">
        <v>140</v>
      </c>
      <c r="AI204" t="s">
        <v>140</v>
      </c>
      <c r="AJ204" t="s">
        <v>140</v>
      </c>
      <c r="AK204" t="s">
        <v>140</v>
      </c>
      <c r="AL204" t="s">
        <v>140</v>
      </c>
      <c r="AM204" t="s">
        <v>140</v>
      </c>
      <c r="AN204" t="s">
        <v>140</v>
      </c>
      <c r="AO204" t="s">
        <v>140</v>
      </c>
      <c r="AP204" t="s">
        <v>140</v>
      </c>
      <c r="AQ204" t="s">
        <v>140</v>
      </c>
      <c r="AR204" t="s">
        <v>140</v>
      </c>
      <c r="AS204" t="s">
        <v>140</v>
      </c>
      <c r="AT204" t="s">
        <v>140</v>
      </c>
      <c r="AU204" t="s">
        <v>140</v>
      </c>
      <c r="AV204" t="s">
        <v>140</v>
      </c>
      <c r="AW204" t="s">
        <v>140</v>
      </c>
      <c r="AX204" t="s">
        <v>140</v>
      </c>
      <c r="AY204" t="s">
        <v>140</v>
      </c>
      <c r="AZ204" t="s">
        <v>140</v>
      </c>
      <c r="BA204" t="s">
        <v>140</v>
      </c>
      <c r="BB204" t="s">
        <v>140</v>
      </c>
      <c r="BC204" t="s">
        <v>140</v>
      </c>
      <c r="BD204" t="s">
        <v>140</v>
      </c>
      <c r="BE204" t="s">
        <v>140</v>
      </c>
      <c r="BF204" t="s">
        <v>140</v>
      </c>
      <c r="BG204" t="s">
        <v>140</v>
      </c>
      <c r="BH204" t="s">
        <v>140</v>
      </c>
      <c r="BI204" t="s">
        <v>140</v>
      </c>
      <c r="BJ204" t="s">
        <v>140</v>
      </c>
      <c r="BK204" t="s">
        <v>140</v>
      </c>
      <c r="BL204" t="s">
        <v>140</v>
      </c>
      <c r="BM204" t="s">
        <v>140</v>
      </c>
      <c r="BN204" t="s">
        <v>140</v>
      </c>
      <c r="BO204" t="s">
        <v>140</v>
      </c>
      <c r="BP204" t="s">
        <v>140</v>
      </c>
      <c r="BQ204" t="s">
        <v>140</v>
      </c>
      <c r="BR204" t="s">
        <v>140</v>
      </c>
      <c r="BS204" t="s">
        <v>140</v>
      </c>
      <c r="BT204" t="s">
        <v>140</v>
      </c>
      <c r="BU204" t="s">
        <v>140</v>
      </c>
      <c r="BV204" t="s">
        <v>140</v>
      </c>
      <c r="BW204" t="s">
        <v>140</v>
      </c>
      <c r="BX204" t="s">
        <v>140</v>
      </c>
      <c r="BY204" t="s">
        <v>140</v>
      </c>
      <c r="BZ204" t="s">
        <v>140</v>
      </c>
      <c r="CA204" t="s">
        <v>140</v>
      </c>
      <c r="CB204" t="s">
        <v>140</v>
      </c>
      <c r="CC204" t="s">
        <v>140</v>
      </c>
      <c r="CD204" t="s">
        <v>140</v>
      </c>
      <c r="CE204" t="s">
        <v>140</v>
      </c>
      <c r="CF204" t="s">
        <v>140</v>
      </c>
      <c r="CG204" t="s">
        <v>140</v>
      </c>
      <c r="CH204" t="s">
        <v>140</v>
      </c>
      <c r="CI204" t="s">
        <v>140</v>
      </c>
      <c r="CJ204" t="s">
        <v>140</v>
      </c>
      <c r="CK204" t="s">
        <v>140</v>
      </c>
      <c r="CL204" t="s">
        <v>140</v>
      </c>
      <c r="CM204" t="s">
        <v>140</v>
      </c>
      <c r="CN204" t="s">
        <v>140</v>
      </c>
      <c r="CO204" t="s">
        <v>140</v>
      </c>
      <c r="CP204" t="s">
        <v>140</v>
      </c>
      <c r="CQ204" t="s">
        <v>140</v>
      </c>
      <c r="CR204" t="s">
        <v>140</v>
      </c>
      <c r="CS204" t="s">
        <v>140</v>
      </c>
      <c r="CT204" t="s">
        <v>140</v>
      </c>
      <c r="CU204" t="s">
        <v>140</v>
      </c>
      <c r="CV204" t="s">
        <v>140</v>
      </c>
      <c r="CW204" t="s">
        <v>140</v>
      </c>
      <c r="CX204" t="s">
        <v>140</v>
      </c>
      <c r="CY204" t="s">
        <v>140</v>
      </c>
      <c r="CZ204" t="s">
        <v>140</v>
      </c>
      <c r="DA204" t="s">
        <v>140</v>
      </c>
      <c r="DB204" t="s">
        <v>140</v>
      </c>
      <c r="DC204" s="1">
        <v>0</v>
      </c>
      <c r="DD204" s="1">
        <v>0</v>
      </c>
      <c r="DE204" s="1">
        <v>11.43</v>
      </c>
      <c r="DF204" s="1">
        <v>9.7799999999999994</v>
      </c>
      <c r="DG204" s="1">
        <v>0</v>
      </c>
      <c r="DH204" s="1">
        <v>10.45</v>
      </c>
      <c r="DI204" s="1">
        <v>0</v>
      </c>
      <c r="DJ204" s="1">
        <v>11.93</v>
      </c>
      <c r="DK204" s="1">
        <v>0</v>
      </c>
      <c r="DL204" s="1">
        <v>12.86</v>
      </c>
      <c r="DM204" s="1">
        <v>0</v>
      </c>
      <c r="DN204" s="1">
        <v>16.47</v>
      </c>
      <c r="DO204" s="1">
        <v>0</v>
      </c>
      <c r="DP204" s="1">
        <v>13.68</v>
      </c>
      <c r="DQ204" s="1">
        <v>0</v>
      </c>
      <c r="DR204" s="1">
        <v>15.95</v>
      </c>
      <c r="DS204" s="1">
        <v>0</v>
      </c>
      <c r="DT204" s="1">
        <v>14.84</v>
      </c>
      <c r="DU204" s="1">
        <v>0</v>
      </c>
      <c r="DV204" s="1">
        <v>15.94</v>
      </c>
      <c r="DW204" s="1">
        <v>0</v>
      </c>
      <c r="DX204" s="1">
        <v>15.83</v>
      </c>
      <c r="DY204" s="1">
        <v>0</v>
      </c>
      <c r="DZ204" s="1">
        <v>21.09</v>
      </c>
      <c r="EA204" s="1">
        <v>0</v>
      </c>
      <c r="EB204" s="1">
        <v>15.15</v>
      </c>
      <c r="EC204" s="1">
        <v>0</v>
      </c>
      <c r="ED204" s="1">
        <v>17.079999999999998</v>
      </c>
    </row>
    <row r="205" spans="1:134" x14ac:dyDescent="0.25">
      <c r="A205" t="s">
        <v>318</v>
      </c>
      <c r="B205" s="1">
        <v>3.92</v>
      </c>
      <c r="C205" s="1">
        <v>7.28</v>
      </c>
      <c r="D205" s="1">
        <v>4.8600000000000003</v>
      </c>
      <c r="E205" s="1">
        <v>5.32</v>
      </c>
      <c r="F205" s="1">
        <v>4.33</v>
      </c>
      <c r="G205" s="1">
        <v>7.32</v>
      </c>
      <c r="H205" s="1">
        <v>7.62</v>
      </c>
      <c r="I205" s="1">
        <v>3.18</v>
      </c>
      <c r="J205" s="1">
        <v>9.51</v>
      </c>
      <c r="K205" s="1">
        <v>-10.39</v>
      </c>
      <c r="L205" s="1">
        <v>66.05</v>
      </c>
      <c r="M205" s="1">
        <v>66.97</v>
      </c>
      <c r="N205" t="s">
        <v>141</v>
      </c>
      <c r="O205" t="s">
        <v>140</v>
      </c>
      <c r="P205" t="s">
        <v>140</v>
      </c>
      <c r="Q205" t="s">
        <v>140</v>
      </c>
      <c r="R205" t="s">
        <v>140</v>
      </c>
      <c r="S205" t="s">
        <v>140</v>
      </c>
      <c r="T205" t="s">
        <v>140</v>
      </c>
      <c r="U205" t="s">
        <v>140</v>
      </c>
      <c r="V205" t="s">
        <v>140</v>
      </c>
      <c r="W205" t="s">
        <v>140</v>
      </c>
      <c r="X205" t="s">
        <v>140</v>
      </c>
      <c r="Y205" t="s">
        <v>140</v>
      </c>
      <c r="Z205" t="s">
        <v>140</v>
      </c>
      <c r="AA205" t="s">
        <v>140</v>
      </c>
      <c r="AB205" t="s">
        <v>140</v>
      </c>
      <c r="AC205" t="s">
        <v>140</v>
      </c>
      <c r="AD205" t="s">
        <v>140</v>
      </c>
      <c r="AE205" t="s">
        <v>140</v>
      </c>
      <c r="AF205" t="s">
        <v>140</v>
      </c>
      <c r="AG205" t="s">
        <v>140</v>
      </c>
      <c r="AH205" t="s">
        <v>140</v>
      </c>
      <c r="AI205" t="s">
        <v>140</v>
      </c>
      <c r="AJ205" t="s">
        <v>140</v>
      </c>
      <c r="AK205" t="s">
        <v>140</v>
      </c>
      <c r="AL205" t="s">
        <v>140</v>
      </c>
      <c r="AM205" t="s">
        <v>140</v>
      </c>
      <c r="AN205" t="s">
        <v>140</v>
      </c>
      <c r="AO205" t="s">
        <v>140</v>
      </c>
      <c r="AP205" t="s">
        <v>140</v>
      </c>
      <c r="AQ205" t="s">
        <v>140</v>
      </c>
      <c r="AR205" t="s">
        <v>140</v>
      </c>
      <c r="AS205" t="s">
        <v>140</v>
      </c>
      <c r="AT205" t="s">
        <v>140</v>
      </c>
      <c r="AU205" t="s">
        <v>140</v>
      </c>
      <c r="AV205" t="s">
        <v>140</v>
      </c>
      <c r="AW205" t="s">
        <v>140</v>
      </c>
      <c r="AX205" t="s">
        <v>140</v>
      </c>
      <c r="AY205" t="s">
        <v>140</v>
      </c>
      <c r="AZ205" t="s">
        <v>140</v>
      </c>
      <c r="BA205" t="s">
        <v>140</v>
      </c>
      <c r="BB205" t="s">
        <v>140</v>
      </c>
      <c r="BC205" t="s">
        <v>140</v>
      </c>
      <c r="BD205" t="s">
        <v>140</v>
      </c>
      <c r="BE205" t="s">
        <v>140</v>
      </c>
      <c r="BF205" t="s">
        <v>140</v>
      </c>
      <c r="BG205" t="s">
        <v>140</v>
      </c>
      <c r="BH205" t="s">
        <v>140</v>
      </c>
      <c r="BI205" t="s">
        <v>140</v>
      </c>
      <c r="BJ205" t="s">
        <v>140</v>
      </c>
      <c r="BK205" t="s">
        <v>140</v>
      </c>
      <c r="BL205" t="s">
        <v>140</v>
      </c>
      <c r="BM205" t="s">
        <v>140</v>
      </c>
      <c r="BN205" t="s">
        <v>140</v>
      </c>
      <c r="BO205" t="s">
        <v>140</v>
      </c>
      <c r="BP205" t="s">
        <v>140</v>
      </c>
      <c r="BQ205" t="s">
        <v>140</v>
      </c>
      <c r="BR205" t="s">
        <v>140</v>
      </c>
      <c r="BS205" t="s">
        <v>140</v>
      </c>
      <c r="BT205" t="s">
        <v>140</v>
      </c>
      <c r="BU205" t="s">
        <v>140</v>
      </c>
      <c r="BV205" t="s">
        <v>140</v>
      </c>
      <c r="BW205" t="s">
        <v>140</v>
      </c>
      <c r="BX205" t="s">
        <v>140</v>
      </c>
      <c r="BY205" t="s">
        <v>140</v>
      </c>
      <c r="BZ205" t="s">
        <v>140</v>
      </c>
      <c r="CA205" t="s">
        <v>140</v>
      </c>
      <c r="CB205" t="s">
        <v>140</v>
      </c>
      <c r="CC205" t="s">
        <v>140</v>
      </c>
      <c r="CD205" t="s">
        <v>140</v>
      </c>
      <c r="CE205" t="s">
        <v>140</v>
      </c>
      <c r="CF205" t="s">
        <v>140</v>
      </c>
      <c r="CG205" t="s">
        <v>140</v>
      </c>
      <c r="CH205" t="s">
        <v>140</v>
      </c>
      <c r="CI205" t="s">
        <v>140</v>
      </c>
      <c r="CJ205" t="s">
        <v>140</v>
      </c>
      <c r="CK205" t="s">
        <v>140</v>
      </c>
      <c r="CL205" t="s">
        <v>140</v>
      </c>
      <c r="CM205" t="s">
        <v>140</v>
      </c>
      <c r="CN205" t="s">
        <v>140</v>
      </c>
      <c r="CO205" t="s">
        <v>140</v>
      </c>
      <c r="CP205" t="s">
        <v>140</v>
      </c>
      <c r="CQ205" t="s">
        <v>140</v>
      </c>
      <c r="CR205" t="s">
        <v>140</v>
      </c>
      <c r="CS205" t="s">
        <v>140</v>
      </c>
      <c r="CT205" t="s">
        <v>140</v>
      </c>
      <c r="CU205" t="s">
        <v>140</v>
      </c>
      <c r="CV205" t="s">
        <v>140</v>
      </c>
      <c r="CW205" t="s">
        <v>140</v>
      </c>
      <c r="CX205" t="s">
        <v>140</v>
      </c>
      <c r="CY205" t="s">
        <v>140</v>
      </c>
      <c r="CZ205" t="s">
        <v>140</v>
      </c>
      <c r="DA205" t="s">
        <v>140</v>
      </c>
      <c r="DB205" t="s">
        <v>140</v>
      </c>
      <c r="DC205" s="1">
        <v>0</v>
      </c>
      <c r="DD205" s="1">
        <v>0</v>
      </c>
      <c r="DE205" s="1">
        <v>7.07</v>
      </c>
      <c r="DF205" s="1">
        <v>16.39</v>
      </c>
      <c r="DG205" s="1">
        <v>0</v>
      </c>
      <c r="DH205" s="1">
        <v>4</v>
      </c>
      <c r="DI205" s="1">
        <v>0</v>
      </c>
      <c r="DJ205" s="1">
        <v>3.92</v>
      </c>
      <c r="DK205" s="1">
        <v>0</v>
      </c>
      <c r="DL205" s="1">
        <v>7.28</v>
      </c>
      <c r="DM205" s="1">
        <v>0</v>
      </c>
      <c r="DN205" s="1">
        <v>4.8600000000000003</v>
      </c>
      <c r="DO205" s="1">
        <v>0</v>
      </c>
      <c r="DP205" s="1">
        <v>5.32</v>
      </c>
      <c r="DQ205" s="1">
        <v>0</v>
      </c>
      <c r="DR205" s="1">
        <v>4.33</v>
      </c>
      <c r="DS205" s="1">
        <v>0</v>
      </c>
      <c r="DT205" s="1">
        <v>7.32</v>
      </c>
      <c r="DU205" s="1">
        <v>0</v>
      </c>
      <c r="DV205" s="1">
        <v>7.62</v>
      </c>
      <c r="DW205" s="1">
        <v>0</v>
      </c>
      <c r="DX205" s="1">
        <v>3.18</v>
      </c>
      <c r="DY205" s="1">
        <v>0</v>
      </c>
      <c r="DZ205" s="1">
        <v>9.51</v>
      </c>
      <c r="EA205" s="1">
        <v>0</v>
      </c>
      <c r="EB205" s="1">
        <v>-10.39</v>
      </c>
      <c r="EC205" s="1">
        <v>0</v>
      </c>
      <c r="ED205" s="1">
        <v>66.05</v>
      </c>
    </row>
    <row r="206" spans="1:134" x14ac:dyDescent="0.25">
      <c r="A206" t="s">
        <v>319</v>
      </c>
      <c r="B206" s="1">
        <v>3.92</v>
      </c>
      <c r="C206" s="1">
        <v>7.3</v>
      </c>
      <c r="D206" s="1">
        <v>4.87</v>
      </c>
      <c r="E206" s="1">
        <v>5.33</v>
      </c>
      <c r="F206" s="1">
        <v>4.34</v>
      </c>
      <c r="G206" s="1">
        <v>7.33</v>
      </c>
      <c r="H206" s="1">
        <v>7.63</v>
      </c>
      <c r="I206" s="1">
        <v>3.18</v>
      </c>
      <c r="J206" s="1">
        <v>9.52</v>
      </c>
      <c r="K206" s="1">
        <v>-10.34</v>
      </c>
      <c r="L206" s="1">
        <v>68.28</v>
      </c>
      <c r="M206" s="1">
        <v>66.97</v>
      </c>
      <c r="N206" t="s">
        <v>141</v>
      </c>
      <c r="O206" t="s">
        <v>140</v>
      </c>
      <c r="P206" t="s">
        <v>140</v>
      </c>
      <c r="Q206" t="s">
        <v>140</v>
      </c>
      <c r="R206" t="s">
        <v>140</v>
      </c>
      <c r="S206" t="s">
        <v>140</v>
      </c>
      <c r="T206" t="s">
        <v>140</v>
      </c>
      <c r="U206" t="s">
        <v>140</v>
      </c>
      <c r="V206" t="s">
        <v>140</v>
      </c>
      <c r="W206" t="s">
        <v>140</v>
      </c>
      <c r="X206" t="s">
        <v>140</v>
      </c>
      <c r="Y206" t="s">
        <v>140</v>
      </c>
      <c r="Z206" t="s">
        <v>140</v>
      </c>
      <c r="AA206" t="s">
        <v>140</v>
      </c>
      <c r="AB206" t="s">
        <v>140</v>
      </c>
      <c r="AC206" t="s">
        <v>140</v>
      </c>
      <c r="AD206" t="s">
        <v>140</v>
      </c>
      <c r="AE206" t="s">
        <v>140</v>
      </c>
      <c r="AF206" t="s">
        <v>140</v>
      </c>
      <c r="AG206" t="s">
        <v>140</v>
      </c>
      <c r="AH206" t="s">
        <v>140</v>
      </c>
      <c r="AI206" t="s">
        <v>140</v>
      </c>
      <c r="AJ206" t="s">
        <v>140</v>
      </c>
      <c r="AK206" t="s">
        <v>140</v>
      </c>
      <c r="AL206" t="s">
        <v>140</v>
      </c>
      <c r="AM206" t="s">
        <v>140</v>
      </c>
      <c r="AN206" t="s">
        <v>140</v>
      </c>
      <c r="AO206" t="s">
        <v>140</v>
      </c>
      <c r="AP206" t="s">
        <v>140</v>
      </c>
      <c r="AQ206" t="s">
        <v>140</v>
      </c>
      <c r="AR206" t="s">
        <v>140</v>
      </c>
      <c r="AS206" t="s">
        <v>140</v>
      </c>
      <c r="AT206" t="s">
        <v>140</v>
      </c>
      <c r="AU206" t="s">
        <v>140</v>
      </c>
      <c r="AV206" t="s">
        <v>140</v>
      </c>
      <c r="AW206" t="s">
        <v>140</v>
      </c>
      <c r="AX206" t="s">
        <v>140</v>
      </c>
      <c r="AY206" t="s">
        <v>140</v>
      </c>
      <c r="AZ206" t="s">
        <v>140</v>
      </c>
      <c r="BA206" t="s">
        <v>140</v>
      </c>
      <c r="BB206" t="s">
        <v>140</v>
      </c>
      <c r="BC206" t="s">
        <v>140</v>
      </c>
      <c r="BD206" t="s">
        <v>140</v>
      </c>
      <c r="BE206" t="s">
        <v>140</v>
      </c>
      <c r="BF206" t="s">
        <v>140</v>
      </c>
      <c r="BG206" t="s">
        <v>140</v>
      </c>
      <c r="BH206" t="s">
        <v>140</v>
      </c>
      <c r="BI206" t="s">
        <v>140</v>
      </c>
      <c r="BJ206" t="s">
        <v>140</v>
      </c>
      <c r="BK206" t="s">
        <v>140</v>
      </c>
      <c r="BL206" t="s">
        <v>140</v>
      </c>
      <c r="BM206" t="s">
        <v>140</v>
      </c>
      <c r="BN206" t="s">
        <v>140</v>
      </c>
      <c r="BO206" t="s">
        <v>140</v>
      </c>
      <c r="BP206" t="s">
        <v>140</v>
      </c>
      <c r="BQ206" t="s">
        <v>140</v>
      </c>
      <c r="BR206" t="s">
        <v>140</v>
      </c>
      <c r="BS206" t="s">
        <v>140</v>
      </c>
      <c r="BT206" t="s">
        <v>140</v>
      </c>
      <c r="BU206" t="s">
        <v>140</v>
      </c>
      <c r="BV206" t="s">
        <v>140</v>
      </c>
      <c r="BW206" t="s">
        <v>140</v>
      </c>
      <c r="BX206" t="s">
        <v>140</v>
      </c>
      <c r="BY206" t="s">
        <v>140</v>
      </c>
      <c r="BZ206" t="s">
        <v>140</v>
      </c>
      <c r="CA206" t="s">
        <v>140</v>
      </c>
      <c r="CB206" t="s">
        <v>140</v>
      </c>
      <c r="CC206" t="s">
        <v>140</v>
      </c>
      <c r="CD206" t="s">
        <v>140</v>
      </c>
      <c r="CE206" t="s">
        <v>140</v>
      </c>
      <c r="CF206" t="s">
        <v>140</v>
      </c>
      <c r="CG206" t="s">
        <v>140</v>
      </c>
      <c r="CH206" t="s">
        <v>140</v>
      </c>
      <c r="CI206" t="s">
        <v>140</v>
      </c>
      <c r="CJ206" t="s">
        <v>140</v>
      </c>
      <c r="CK206" t="s">
        <v>140</v>
      </c>
      <c r="CL206" t="s">
        <v>140</v>
      </c>
      <c r="CM206" t="s">
        <v>140</v>
      </c>
      <c r="CN206" t="s">
        <v>140</v>
      </c>
      <c r="CO206" t="s">
        <v>140</v>
      </c>
      <c r="CP206" t="s">
        <v>140</v>
      </c>
      <c r="CQ206" t="s">
        <v>140</v>
      </c>
      <c r="CR206" t="s">
        <v>140</v>
      </c>
      <c r="CS206" t="s">
        <v>140</v>
      </c>
      <c r="CT206" t="s">
        <v>140</v>
      </c>
      <c r="CU206" t="s">
        <v>140</v>
      </c>
      <c r="CV206" t="s">
        <v>140</v>
      </c>
      <c r="CW206" t="s">
        <v>140</v>
      </c>
      <c r="CX206" t="s">
        <v>140</v>
      </c>
      <c r="CY206" t="s">
        <v>140</v>
      </c>
      <c r="CZ206" t="s">
        <v>140</v>
      </c>
      <c r="DA206" t="s">
        <v>140</v>
      </c>
      <c r="DB206" t="s">
        <v>140</v>
      </c>
      <c r="DC206" s="1">
        <v>0</v>
      </c>
      <c r="DD206" s="1">
        <v>0</v>
      </c>
      <c r="DE206" s="1">
        <v>7.08</v>
      </c>
      <c r="DF206" s="1">
        <v>16.489999999999998</v>
      </c>
      <c r="DG206" s="1">
        <v>0</v>
      </c>
      <c r="DH206" s="1">
        <v>4</v>
      </c>
      <c r="DI206" s="1">
        <v>0</v>
      </c>
      <c r="DJ206" s="1">
        <v>3.92</v>
      </c>
      <c r="DK206" s="1">
        <v>0</v>
      </c>
      <c r="DL206" s="1">
        <v>7.3</v>
      </c>
      <c r="DM206" s="1">
        <v>0</v>
      </c>
      <c r="DN206" s="1">
        <v>4.87</v>
      </c>
      <c r="DO206" s="1">
        <v>0</v>
      </c>
      <c r="DP206" s="1">
        <v>5.33</v>
      </c>
      <c r="DQ206" s="1">
        <v>0</v>
      </c>
      <c r="DR206" s="1">
        <v>4.34</v>
      </c>
      <c r="DS206" s="1">
        <v>0</v>
      </c>
      <c r="DT206" s="1">
        <v>7.33</v>
      </c>
      <c r="DU206" s="1">
        <v>0</v>
      </c>
      <c r="DV206" s="1">
        <v>7.63</v>
      </c>
      <c r="DW206" s="1">
        <v>0</v>
      </c>
      <c r="DX206" s="1">
        <v>3.18</v>
      </c>
      <c r="DY206" s="1">
        <v>0</v>
      </c>
      <c r="DZ206" s="1">
        <v>9.52</v>
      </c>
      <c r="EA206" s="1">
        <v>0</v>
      </c>
      <c r="EB206" s="1">
        <v>-10.34</v>
      </c>
      <c r="EC206" s="1">
        <v>0</v>
      </c>
      <c r="ED206" s="1">
        <v>68.28</v>
      </c>
    </row>
    <row r="207" spans="1:134" x14ac:dyDescent="0.25">
      <c r="A207" t="s">
        <v>320</v>
      </c>
      <c r="B207" s="1">
        <v>25.51</v>
      </c>
      <c r="C207" s="1">
        <v>13.7</v>
      </c>
      <c r="D207" s="1">
        <v>20.53</v>
      </c>
      <c r="E207" s="1">
        <v>18.760000000000002</v>
      </c>
      <c r="F207" s="1">
        <v>23.04</v>
      </c>
      <c r="G207" s="1">
        <v>13.64</v>
      </c>
      <c r="H207" s="1">
        <v>13.11</v>
      </c>
      <c r="I207" s="1">
        <v>31.45</v>
      </c>
      <c r="J207" s="1">
        <v>10.5</v>
      </c>
      <c r="K207" s="1">
        <v>-9.67</v>
      </c>
      <c r="L207" s="1">
        <v>1.46</v>
      </c>
      <c r="M207" s="1">
        <v>1.5</v>
      </c>
      <c r="N207" t="s">
        <v>141</v>
      </c>
      <c r="O207" t="s">
        <v>140</v>
      </c>
      <c r="P207" t="s">
        <v>140</v>
      </c>
      <c r="Q207" t="s">
        <v>140</v>
      </c>
      <c r="R207" t="s">
        <v>140</v>
      </c>
      <c r="S207" t="s">
        <v>140</v>
      </c>
      <c r="T207" t="s">
        <v>140</v>
      </c>
      <c r="U207" t="s">
        <v>140</v>
      </c>
      <c r="V207" t="s">
        <v>140</v>
      </c>
      <c r="W207" t="s">
        <v>140</v>
      </c>
      <c r="X207" t="s">
        <v>140</v>
      </c>
      <c r="Y207" t="s">
        <v>140</v>
      </c>
      <c r="Z207" t="s">
        <v>140</v>
      </c>
      <c r="AA207" t="s">
        <v>140</v>
      </c>
      <c r="AB207" t="s">
        <v>140</v>
      </c>
      <c r="AC207" t="s">
        <v>140</v>
      </c>
      <c r="AD207" t="s">
        <v>140</v>
      </c>
      <c r="AE207" t="s">
        <v>140</v>
      </c>
      <c r="AF207" t="s">
        <v>140</v>
      </c>
      <c r="AG207" t="s">
        <v>140</v>
      </c>
      <c r="AH207" t="s">
        <v>140</v>
      </c>
      <c r="AI207" t="s">
        <v>140</v>
      </c>
      <c r="AJ207" t="s">
        <v>140</v>
      </c>
      <c r="AK207" t="s">
        <v>140</v>
      </c>
      <c r="AL207" t="s">
        <v>140</v>
      </c>
      <c r="AM207" t="s">
        <v>140</v>
      </c>
      <c r="AN207" t="s">
        <v>140</v>
      </c>
      <c r="AO207" t="s">
        <v>140</v>
      </c>
      <c r="AP207" t="s">
        <v>140</v>
      </c>
      <c r="AQ207" t="s">
        <v>140</v>
      </c>
      <c r="AR207" t="s">
        <v>140</v>
      </c>
      <c r="AS207" t="s">
        <v>140</v>
      </c>
      <c r="AT207" t="s">
        <v>140</v>
      </c>
      <c r="AU207" t="s">
        <v>140</v>
      </c>
      <c r="AV207" t="s">
        <v>140</v>
      </c>
      <c r="AW207" t="s">
        <v>140</v>
      </c>
      <c r="AX207" t="s">
        <v>140</v>
      </c>
      <c r="AY207" t="s">
        <v>140</v>
      </c>
      <c r="AZ207" t="s">
        <v>140</v>
      </c>
      <c r="BA207" t="s">
        <v>140</v>
      </c>
      <c r="BB207" t="s">
        <v>140</v>
      </c>
      <c r="BC207" t="s">
        <v>140</v>
      </c>
      <c r="BD207" t="s">
        <v>140</v>
      </c>
      <c r="BE207" t="s">
        <v>140</v>
      </c>
      <c r="BF207" t="s">
        <v>140</v>
      </c>
      <c r="BG207" t="s">
        <v>140</v>
      </c>
      <c r="BH207" t="s">
        <v>140</v>
      </c>
      <c r="BI207" t="s">
        <v>140</v>
      </c>
      <c r="BJ207" t="s">
        <v>140</v>
      </c>
      <c r="BK207" t="s">
        <v>140</v>
      </c>
      <c r="BL207" t="s">
        <v>140</v>
      </c>
      <c r="BM207" t="s">
        <v>140</v>
      </c>
      <c r="BN207" t="s">
        <v>140</v>
      </c>
      <c r="BO207" t="s">
        <v>140</v>
      </c>
      <c r="BP207" t="s">
        <v>140</v>
      </c>
      <c r="BQ207" t="s">
        <v>140</v>
      </c>
      <c r="BR207" t="s">
        <v>140</v>
      </c>
      <c r="BS207" t="s">
        <v>140</v>
      </c>
      <c r="BT207" t="s">
        <v>140</v>
      </c>
      <c r="BU207" t="s">
        <v>140</v>
      </c>
      <c r="BV207" t="s">
        <v>140</v>
      </c>
      <c r="BW207" t="s">
        <v>140</v>
      </c>
      <c r="BX207" t="s">
        <v>140</v>
      </c>
      <c r="BY207" t="s">
        <v>140</v>
      </c>
      <c r="BZ207" t="s">
        <v>140</v>
      </c>
      <c r="CA207" t="s">
        <v>140</v>
      </c>
      <c r="CB207" t="s">
        <v>140</v>
      </c>
      <c r="CC207" t="s">
        <v>140</v>
      </c>
      <c r="CD207" t="s">
        <v>140</v>
      </c>
      <c r="CE207" t="s">
        <v>140</v>
      </c>
      <c r="CF207" t="s">
        <v>140</v>
      </c>
      <c r="CG207" t="s">
        <v>140</v>
      </c>
      <c r="CH207" t="s">
        <v>140</v>
      </c>
      <c r="CI207" t="s">
        <v>140</v>
      </c>
      <c r="CJ207" t="s">
        <v>140</v>
      </c>
      <c r="CK207" t="s">
        <v>140</v>
      </c>
      <c r="CL207" t="s">
        <v>140</v>
      </c>
      <c r="CM207" t="s">
        <v>140</v>
      </c>
      <c r="CN207" t="s">
        <v>140</v>
      </c>
      <c r="CO207" t="s">
        <v>140</v>
      </c>
      <c r="CP207" t="s">
        <v>140</v>
      </c>
      <c r="CQ207" t="s">
        <v>140</v>
      </c>
      <c r="CR207" t="s">
        <v>140</v>
      </c>
      <c r="CS207" t="s">
        <v>140</v>
      </c>
      <c r="CT207" t="s">
        <v>140</v>
      </c>
      <c r="CU207" t="s">
        <v>140</v>
      </c>
      <c r="CV207" t="s">
        <v>140</v>
      </c>
      <c r="CW207" t="s">
        <v>140</v>
      </c>
      <c r="CX207" t="s">
        <v>140</v>
      </c>
      <c r="CY207" t="s">
        <v>140</v>
      </c>
      <c r="CZ207" t="s">
        <v>140</v>
      </c>
      <c r="DA207" t="s">
        <v>140</v>
      </c>
      <c r="DB207" t="s">
        <v>140</v>
      </c>
      <c r="DC207" s="1">
        <v>0</v>
      </c>
      <c r="DD207" s="1">
        <v>0</v>
      </c>
      <c r="DE207" s="1">
        <v>14.12</v>
      </c>
      <c r="DF207" s="1">
        <v>6.06</v>
      </c>
      <c r="DG207" s="1">
        <v>0</v>
      </c>
      <c r="DH207" s="1">
        <v>25</v>
      </c>
      <c r="DI207" s="1">
        <v>0</v>
      </c>
      <c r="DJ207" s="1">
        <v>25.51</v>
      </c>
      <c r="DK207" s="1">
        <v>0</v>
      </c>
      <c r="DL207" s="1">
        <v>13.7</v>
      </c>
      <c r="DM207" s="1">
        <v>0</v>
      </c>
      <c r="DN207" s="1">
        <v>20.53</v>
      </c>
      <c r="DO207" s="1">
        <v>0</v>
      </c>
      <c r="DP207" s="1">
        <v>18.760000000000002</v>
      </c>
      <c r="DQ207" s="1">
        <v>0</v>
      </c>
      <c r="DR207" s="1">
        <v>23.04</v>
      </c>
      <c r="DS207" s="1">
        <v>0</v>
      </c>
      <c r="DT207" s="1">
        <v>13.64</v>
      </c>
      <c r="DU207" s="1">
        <v>0</v>
      </c>
      <c r="DV207" s="1">
        <v>13.11</v>
      </c>
      <c r="DW207" s="1">
        <v>0</v>
      </c>
      <c r="DX207" s="1">
        <v>31.45</v>
      </c>
      <c r="DY207" s="1">
        <v>0</v>
      </c>
      <c r="DZ207" s="1">
        <v>10.5</v>
      </c>
      <c r="EA207" s="1">
        <v>0</v>
      </c>
      <c r="EB207" s="1">
        <v>-9.67</v>
      </c>
      <c r="EC207" s="1">
        <v>0</v>
      </c>
      <c r="ED207" s="1">
        <v>1.46</v>
      </c>
    </row>
    <row r="208" spans="1:134" x14ac:dyDescent="0.25">
      <c r="A208" t="s">
        <v>321</v>
      </c>
      <c r="B208" s="1">
        <v>24.05</v>
      </c>
      <c r="C208" s="1">
        <v>24.13</v>
      </c>
      <c r="D208" s="1">
        <v>23.1</v>
      </c>
      <c r="E208" s="1">
        <v>23.92</v>
      </c>
      <c r="F208" s="1">
        <v>17.579999999999998</v>
      </c>
      <c r="G208" s="1">
        <v>13.26</v>
      </c>
      <c r="H208" s="1">
        <v>12.56</v>
      </c>
      <c r="I208" s="1">
        <v>15.76</v>
      </c>
      <c r="J208" s="1">
        <v>12.56</v>
      </c>
      <c r="K208" s="1">
        <v>0</v>
      </c>
      <c r="L208" s="1">
        <v>0</v>
      </c>
      <c r="M208" s="1">
        <v>13.51</v>
      </c>
      <c r="N208" t="s">
        <v>141</v>
      </c>
      <c r="O208" t="s">
        <v>140</v>
      </c>
      <c r="P208" t="s">
        <v>140</v>
      </c>
      <c r="Q208" t="s">
        <v>140</v>
      </c>
      <c r="R208" t="s">
        <v>140</v>
      </c>
      <c r="S208" t="s">
        <v>140</v>
      </c>
      <c r="T208" t="s">
        <v>140</v>
      </c>
      <c r="U208" t="s">
        <v>140</v>
      </c>
      <c r="V208" t="s">
        <v>140</v>
      </c>
      <c r="W208" t="s">
        <v>140</v>
      </c>
      <c r="X208" t="s">
        <v>140</v>
      </c>
      <c r="Y208" t="s">
        <v>140</v>
      </c>
      <c r="Z208" t="s">
        <v>140</v>
      </c>
      <c r="AA208" t="s">
        <v>140</v>
      </c>
      <c r="AB208" t="s">
        <v>140</v>
      </c>
      <c r="AC208" t="s">
        <v>140</v>
      </c>
      <c r="AD208" t="s">
        <v>140</v>
      </c>
      <c r="AE208" t="s">
        <v>140</v>
      </c>
      <c r="AF208" t="s">
        <v>140</v>
      </c>
      <c r="AG208" t="s">
        <v>140</v>
      </c>
      <c r="AH208" t="s">
        <v>140</v>
      </c>
      <c r="AI208" t="s">
        <v>140</v>
      </c>
      <c r="AJ208" t="s">
        <v>140</v>
      </c>
      <c r="AK208" t="s">
        <v>140</v>
      </c>
      <c r="AL208" t="s">
        <v>140</v>
      </c>
      <c r="AM208" t="s">
        <v>140</v>
      </c>
      <c r="AN208" t="s">
        <v>140</v>
      </c>
      <c r="AO208" t="s">
        <v>140</v>
      </c>
      <c r="AP208" t="s">
        <v>140</v>
      </c>
      <c r="AQ208" t="s">
        <v>140</v>
      </c>
      <c r="AR208" t="s">
        <v>140</v>
      </c>
      <c r="AS208" t="s">
        <v>140</v>
      </c>
      <c r="AT208" t="s">
        <v>140</v>
      </c>
      <c r="AU208" t="s">
        <v>140</v>
      </c>
      <c r="AV208" t="s">
        <v>140</v>
      </c>
      <c r="AW208" t="s">
        <v>140</v>
      </c>
      <c r="AX208" t="s">
        <v>140</v>
      </c>
      <c r="AY208" t="s">
        <v>140</v>
      </c>
      <c r="AZ208" t="s">
        <v>140</v>
      </c>
      <c r="BA208" t="s">
        <v>140</v>
      </c>
      <c r="BB208" t="s">
        <v>140</v>
      </c>
      <c r="BC208" t="s">
        <v>140</v>
      </c>
      <c r="BD208" t="s">
        <v>140</v>
      </c>
      <c r="BE208" t="s">
        <v>140</v>
      </c>
      <c r="BF208" t="s">
        <v>140</v>
      </c>
      <c r="BG208" t="s">
        <v>140</v>
      </c>
      <c r="BH208" t="s">
        <v>140</v>
      </c>
      <c r="BI208" t="s">
        <v>140</v>
      </c>
      <c r="BJ208" t="s">
        <v>140</v>
      </c>
      <c r="BK208" t="s">
        <v>140</v>
      </c>
      <c r="BL208" t="s">
        <v>140</v>
      </c>
      <c r="BM208" t="s">
        <v>140</v>
      </c>
      <c r="BN208" t="s">
        <v>140</v>
      </c>
      <c r="BO208" t="s">
        <v>140</v>
      </c>
      <c r="BP208" t="s">
        <v>140</v>
      </c>
      <c r="BQ208" t="s">
        <v>140</v>
      </c>
      <c r="BR208" t="s">
        <v>140</v>
      </c>
      <c r="BS208" t="s">
        <v>140</v>
      </c>
      <c r="BT208" t="s">
        <v>140</v>
      </c>
      <c r="BU208" t="s">
        <v>140</v>
      </c>
      <c r="BV208" t="s">
        <v>140</v>
      </c>
      <c r="BW208" t="s">
        <v>140</v>
      </c>
      <c r="BX208" t="s">
        <v>140</v>
      </c>
      <c r="BY208" t="s">
        <v>140</v>
      </c>
      <c r="BZ208" t="s">
        <v>140</v>
      </c>
      <c r="CA208" t="s">
        <v>140</v>
      </c>
      <c r="CB208" t="s">
        <v>140</v>
      </c>
      <c r="CC208" t="s">
        <v>140</v>
      </c>
      <c r="CD208" t="s">
        <v>140</v>
      </c>
      <c r="CE208" t="s">
        <v>140</v>
      </c>
      <c r="CF208" t="s">
        <v>140</v>
      </c>
      <c r="CG208" t="s">
        <v>140</v>
      </c>
      <c r="CH208" t="s">
        <v>140</v>
      </c>
      <c r="CI208" t="s">
        <v>140</v>
      </c>
      <c r="CJ208" t="s">
        <v>140</v>
      </c>
      <c r="CK208" t="s">
        <v>140</v>
      </c>
      <c r="CL208" t="s">
        <v>140</v>
      </c>
      <c r="CM208" t="s">
        <v>140</v>
      </c>
      <c r="CN208" t="s">
        <v>140</v>
      </c>
      <c r="CO208" t="s">
        <v>140</v>
      </c>
      <c r="CP208" t="s">
        <v>140</v>
      </c>
      <c r="CQ208" t="s">
        <v>140</v>
      </c>
      <c r="CR208" t="s">
        <v>140</v>
      </c>
      <c r="CS208" t="s">
        <v>140</v>
      </c>
      <c r="CT208" t="s">
        <v>140</v>
      </c>
      <c r="CU208" t="s">
        <v>140</v>
      </c>
      <c r="CV208" t="s">
        <v>140</v>
      </c>
      <c r="CW208" t="s">
        <v>140</v>
      </c>
      <c r="CX208" t="s">
        <v>140</v>
      </c>
      <c r="CY208" t="s">
        <v>140</v>
      </c>
      <c r="CZ208" t="s">
        <v>140</v>
      </c>
      <c r="DA208" t="s">
        <v>140</v>
      </c>
      <c r="DB208" t="s">
        <v>140</v>
      </c>
      <c r="DC208" s="1">
        <v>0</v>
      </c>
      <c r="DD208" s="1">
        <v>0</v>
      </c>
      <c r="DE208" s="1">
        <v>0</v>
      </c>
      <c r="DF208" s="1">
        <v>0</v>
      </c>
      <c r="DG208" s="1">
        <v>0</v>
      </c>
      <c r="DH208" s="1">
        <v>4.2699999999999996</v>
      </c>
      <c r="DI208" s="1">
        <v>0</v>
      </c>
      <c r="DJ208" s="1">
        <v>24.05</v>
      </c>
      <c r="DK208" s="1">
        <v>0</v>
      </c>
      <c r="DL208" s="1">
        <v>24.13</v>
      </c>
      <c r="DM208" s="1">
        <v>2.61</v>
      </c>
      <c r="DN208" s="1">
        <v>23.1</v>
      </c>
      <c r="DO208" s="1">
        <v>0</v>
      </c>
      <c r="DP208" s="1">
        <v>23.92</v>
      </c>
      <c r="DQ208" s="1">
        <v>0</v>
      </c>
      <c r="DR208" s="1">
        <v>17.579999999999998</v>
      </c>
      <c r="DS208" s="1">
        <v>0</v>
      </c>
      <c r="DT208" s="1">
        <v>13.26</v>
      </c>
      <c r="DU208" s="1">
        <v>0</v>
      </c>
      <c r="DV208" s="1">
        <v>12.56</v>
      </c>
      <c r="DW208" s="1">
        <v>0</v>
      </c>
      <c r="DX208" s="1">
        <v>15.76</v>
      </c>
      <c r="DY208" s="1">
        <v>0</v>
      </c>
      <c r="DZ208" s="1">
        <v>12.56</v>
      </c>
      <c r="EA208" s="1">
        <v>0</v>
      </c>
      <c r="EB208" s="1">
        <v>0</v>
      </c>
      <c r="EC208" s="1">
        <v>0</v>
      </c>
      <c r="ED208" s="1">
        <v>0</v>
      </c>
    </row>
    <row r="209" spans="1:134" x14ac:dyDescent="0.25">
      <c r="A209" t="s">
        <v>322</v>
      </c>
      <c r="B209" s="1">
        <v>0</v>
      </c>
      <c r="C209" s="1">
        <v>0</v>
      </c>
      <c r="D209" s="1">
        <v>0</v>
      </c>
      <c r="E209" s="1">
        <v>0</v>
      </c>
      <c r="F209" s="1">
        <v>9.09</v>
      </c>
      <c r="G209" s="1">
        <v>7.78</v>
      </c>
      <c r="H209" s="1">
        <v>8.24</v>
      </c>
      <c r="I209" s="1">
        <v>7.73</v>
      </c>
      <c r="J209" s="1">
        <v>9.42</v>
      </c>
      <c r="K209" s="1">
        <v>7.8</v>
      </c>
      <c r="L209" s="1">
        <v>8.9700000000000006</v>
      </c>
      <c r="M209" s="1">
        <v>8.68</v>
      </c>
      <c r="N209" t="s">
        <v>141</v>
      </c>
      <c r="O209" t="s">
        <v>140</v>
      </c>
      <c r="P209" t="s">
        <v>140</v>
      </c>
      <c r="Q209" t="s">
        <v>140</v>
      </c>
      <c r="R209" t="s">
        <v>140</v>
      </c>
      <c r="S209" t="s">
        <v>140</v>
      </c>
      <c r="T209" t="s">
        <v>140</v>
      </c>
      <c r="U209" t="s">
        <v>140</v>
      </c>
      <c r="V209" t="s">
        <v>140</v>
      </c>
      <c r="W209" t="s">
        <v>140</v>
      </c>
      <c r="X209" t="s">
        <v>140</v>
      </c>
      <c r="Y209" t="s">
        <v>140</v>
      </c>
      <c r="Z209" t="s">
        <v>140</v>
      </c>
      <c r="AA209" t="s">
        <v>140</v>
      </c>
      <c r="AB209" t="s">
        <v>140</v>
      </c>
      <c r="AC209" t="s">
        <v>140</v>
      </c>
      <c r="AD209" t="s">
        <v>140</v>
      </c>
      <c r="AE209" t="s">
        <v>140</v>
      </c>
      <c r="AF209" t="s">
        <v>140</v>
      </c>
      <c r="AG209" t="s">
        <v>140</v>
      </c>
      <c r="AH209" t="s">
        <v>140</v>
      </c>
      <c r="AI209" t="s">
        <v>140</v>
      </c>
      <c r="AJ209" t="s">
        <v>140</v>
      </c>
      <c r="AK209" t="s">
        <v>140</v>
      </c>
      <c r="AL209" t="s">
        <v>140</v>
      </c>
      <c r="AM209" t="s">
        <v>140</v>
      </c>
      <c r="AN209" t="s">
        <v>140</v>
      </c>
      <c r="AO209" t="s">
        <v>140</v>
      </c>
      <c r="AP209" t="s">
        <v>140</v>
      </c>
      <c r="AQ209" t="s">
        <v>140</v>
      </c>
      <c r="AR209" t="s">
        <v>140</v>
      </c>
      <c r="AS209" t="s">
        <v>140</v>
      </c>
      <c r="AT209" t="s">
        <v>140</v>
      </c>
      <c r="AU209" t="s">
        <v>140</v>
      </c>
      <c r="AV209" t="s">
        <v>140</v>
      </c>
      <c r="AW209" t="s">
        <v>140</v>
      </c>
      <c r="AX209" t="s">
        <v>140</v>
      </c>
      <c r="AY209" t="s">
        <v>140</v>
      </c>
      <c r="AZ209" t="s">
        <v>140</v>
      </c>
      <c r="BA209" t="s">
        <v>140</v>
      </c>
      <c r="BB209" t="s">
        <v>140</v>
      </c>
      <c r="BC209" t="s">
        <v>140</v>
      </c>
      <c r="BD209" t="s">
        <v>140</v>
      </c>
      <c r="BE209" t="s">
        <v>140</v>
      </c>
      <c r="BF209" t="s">
        <v>140</v>
      </c>
      <c r="BG209" t="s">
        <v>140</v>
      </c>
      <c r="BH209" t="s">
        <v>140</v>
      </c>
      <c r="BI209" t="s">
        <v>140</v>
      </c>
      <c r="BJ209" t="s">
        <v>140</v>
      </c>
      <c r="BK209" t="s">
        <v>140</v>
      </c>
      <c r="BL209" t="s">
        <v>140</v>
      </c>
      <c r="BM209" t="s">
        <v>140</v>
      </c>
      <c r="BN209" t="s">
        <v>140</v>
      </c>
      <c r="BO209" t="s">
        <v>140</v>
      </c>
      <c r="BP209" t="s">
        <v>140</v>
      </c>
      <c r="BQ209" t="s">
        <v>140</v>
      </c>
      <c r="BR209" t="s">
        <v>140</v>
      </c>
      <c r="BS209" t="s">
        <v>140</v>
      </c>
      <c r="BT209" t="s">
        <v>140</v>
      </c>
      <c r="BU209" t="s">
        <v>140</v>
      </c>
      <c r="BV209" t="s">
        <v>140</v>
      </c>
      <c r="BW209" t="s">
        <v>140</v>
      </c>
      <c r="BX209" t="s">
        <v>140</v>
      </c>
      <c r="BY209" t="s">
        <v>140</v>
      </c>
      <c r="BZ209" t="s">
        <v>140</v>
      </c>
      <c r="CA209" t="s">
        <v>140</v>
      </c>
      <c r="CB209" t="s">
        <v>140</v>
      </c>
      <c r="CC209" t="s">
        <v>140</v>
      </c>
      <c r="CD209" t="s">
        <v>140</v>
      </c>
      <c r="CE209" t="s">
        <v>140</v>
      </c>
      <c r="CF209" t="s">
        <v>140</v>
      </c>
      <c r="CG209" t="s">
        <v>140</v>
      </c>
      <c r="CH209" t="s">
        <v>140</v>
      </c>
      <c r="CI209" t="s">
        <v>140</v>
      </c>
      <c r="CJ209" t="s">
        <v>140</v>
      </c>
      <c r="CK209" t="s">
        <v>140</v>
      </c>
      <c r="CL209" t="s">
        <v>140</v>
      </c>
      <c r="CM209" t="s">
        <v>140</v>
      </c>
      <c r="CN209" t="s">
        <v>140</v>
      </c>
      <c r="CO209" t="s">
        <v>140</v>
      </c>
      <c r="CP209" t="s">
        <v>140</v>
      </c>
      <c r="CQ209" t="s">
        <v>140</v>
      </c>
      <c r="CR209" t="s">
        <v>140</v>
      </c>
      <c r="CS209" t="s">
        <v>140</v>
      </c>
      <c r="CT209" t="s">
        <v>140</v>
      </c>
      <c r="CU209" t="s">
        <v>140</v>
      </c>
      <c r="CV209" t="s">
        <v>140</v>
      </c>
      <c r="CW209" t="s">
        <v>140</v>
      </c>
      <c r="CX209" t="s">
        <v>140</v>
      </c>
      <c r="CY209" t="s">
        <v>140</v>
      </c>
      <c r="CZ209" t="s">
        <v>140</v>
      </c>
      <c r="DA209" t="s">
        <v>140</v>
      </c>
      <c r="DB209" t="s">
        <v>140</v>
      </c>
      <c r="DC209" s="1">
        <v>0</v>
      </c>
      <c r="DD209" s="1">
        <v>0</v>
      </c>
      <c r="DE209" s="1">
        <v>0</v>
      </c>
      <c r="DF209" s="1">
        <v>0</v>
      </c>
      <c r="DG209" s="1">
        <v>0</v>
      </c>
      <c r="DH209" s="1">
        <v>0</v>
      </c>
      <c r="DI209" s="1">
        <v>0</v>
      </c>
      <c r="DJ209" s="1">
        <v>0</v>
      </c>
      <c r="DK209" s="1">
        <v>0</v>
      </c>
      <c r="DL209" s="1">
        <v>0</v>
      </c>
      <c r="DM209" s="1">
        <v>8.4600000000000009</v>
      </c>
      <c r="DN209" s="1">
        <v>0</v>
      </c>
      <c r="DO209" s="1">
        <v>0</v>
      </c>
      <c r="DP209" s="1">
        <v>0</v>
      </c>
      <c r="DQ209" s="1">
        <v>0</v>
      </c>
      <c r="DR209" s="1">
        <v>9.09</v>
      </c>
      <c r="DS209" s="1">
        <v>0</v>
      </c>
      <c r="DT209" s="1">
        <v>7.78</v>
      </c>
      <c r="DU209" s="1">
        <v>0</v>
      </c>
      <c r="DV209" s="1">
        <v>8.24</v>
      </c>
      <c r="DW209" s="1">
        <v>0</v>
      </c>
      <c r="DX209" s="1">
        <v>7.73</v>
      </c>
      <c r="DY209" s="1">
        <v>0</v>
      </c>
      <c r="DZ209" s="1">
        <v>9.42</v>
      </c>
      <c r="EA209" s="1">
        <v>0</v>
      </c>
      <c r="EB209" s="1">
        <v>7.8</v>
      </c>
      <c r="EC209" s="1">
        <v>0</v>
      </c>
      <c r="ED209" s="1">
        <v>8.9700000000000006</v>
      </c>
    </row>
    <row r="210" spans="1:134" x14ac:dyDescent="0.25">
      <c r="A210" t="s">
        <v>323</v>
      </c>
      <c r="B210" s="1">
        <v>4.1399999999999997</v>
      </c>
      <c r="C210" s="1">
        <v>4.18</v>
      </c>
      <c r="D210" s="1">
        <v>3.25</v>
      </c>
      <c r="E210" s="1">
        <v>4.08</v>
      </c>
      <c r="F210" s="1">
        <v>3.67</v>
      </c>
      <c r="G210" s="1">
        <v>4.18</v>
      </c>
      <c r="H210" s="1">
        <v>4.0199999999999996</v>
      </c>
      <c r="I210" s="1">
        <v>3.55</v>
      </c>
      <c r="J210" s="1">
        <v>2.82</v>
      </c>
      <c r="K210" s="1">
        <v>4.29</v>
      </c>
      <c r="L210" s="1">
        <v>4.0599999999999996</v>
      </c>
      <c r="M210" s="1">
        <v>4.26</v>
      </c>
      <c r="N210" t="s">
        <v>141</v>
      </c>
      <c r="O210" t="s">
        <v>140</v>
      </c>
      <c r="P210" t="s">
        <v>140</v>
      </c>
      <c r="Q210" t="s">
        <v>140</v>
      </c>
      <c r="R210" t="s">
        <v>140</v>
      </c>
      <c r="S210" t="s">
        <v>140</v>
      </c>
      <c r="T210" t="s">
        <v>140</v>
      </c>
      <c r="U210" t="s">
        <v>140</v>
      </c>
      <c r="V210" t="s">
        <v>140</v>
      </c>
      <c r="W210" t="s">
        <v>140</v>
      </c>
      <c r="X210" t="s">
        <v>140</v>
      </c>
      <c r="Y210" t="s">
        <v>140</v>
      </c>
      <c r="Z210" t="s">
        <v>140</v>
      </c>
      <c r="AA210" t="s">
        <v>140</v>
      </c>
      <c r="AB210" t="s">
        <v>140</v>
      </c>
      <c r="AC210" t="s">
        <v>140</v>
      </c>
      <c r="AD210" t="s">
        <v>140</v>
      </c>
      <c r="AE210" t="s">
        <v>140</v>
      </c>
      <c r="AF210" t="s">
        <v>140</v>
      </c>
      <c r="AG210" t="s">
        <v>140</v>
      </c>
      <c r="AH210" t="s">
        <v>140</v>
      </c>
      <c r="AI210" t="s">
        <v>140</v>
      </c>
      <c r="AJ210" t="s">
        <v>140</v>
      </c>
      <c r="AK210" t="s">
        <v>140</v>
      </c>
      <c r="AL210" t="s">
        <v>140</v>
      </c>
      <c r="AM210" t="s">
        <v>140</v>
      </c>
      <c r="AN210" t="s">
        <v>140</v>
      </c>
      <c r="AO210" t="s">
        <v>140</v>
      </c>
      <c r="AP210" t="s">
        <v>140</v>
      </c>
      <c r="AQ210" t="s">
        <v>140</v>
      </c>
      <c r="AR210" t="s">
        <v>140</v>
      </c>
      <c r="AS210" t="s">
        <v>140</v>
      </c>
      <c r="AT210" t="s">
        <v>140</v>
      </c>
      <c r="AU210" t="s">
        <v>140</v>
      </c>
      <c r="AV210" t="s">
        <v>140</v>
      </c>
      <c r="AW210" t="s">
        <v>140</v>
      </c>
      <c r="AX210" t="s">
        <v>140</v>
      </c>
      <c r="AY210" t="s">
        <v>140</v>
      </c>
      <c r="AZ210" t="s">
        <v>140</v>
      </c>
      <c r="BA210" t="s">
        <v>140</v>
      </c>
      <c r="BB210" t="s">
        <v>140</v>
      </c>
      <c r="BC210" t="s">
        <v>140</v>
      </c>
      <c r="BD210" t="s">
        <v>140</v>
      </c>
      <c r="BE210" t="s">
        <v>140</v>
      </c>
      <c r="BF210" t="s">
        <v>140</v>
      </c>
      <c r="BG210" t="s">
        <v>140</v>
      </c>
      <c r="BH210" t="s">
        <v>140</v>
      </c>
      <c r="BI210" t="s">
        <v>140</v>
      </c>
      <c r="BJ210" t="s">
        <v>140</v>
      </c>
      <c r="BK210" t="s">
        <v>140</v>
      </c>
      <c r="BL210" t="s">
        <v>140</v>
      </c>
      <c r="BM210" t="s">
        <v>140</v>
      </c>
      <c r="BN210" t="s">
        <v>140</v>
      </c>
      <c r="BO210" t="s">
        <v>140</v>
      </c>
      <c r="BP210" t="s">
        <v>140</v>
      </c>
      <c r="BQ210" t="s">
        <v>140</v>
      </c>
      <c r="BR210" t="s">
        <v>140</v>
      </c>
      <c r="BS210" t="s">
        <v>140</v>
      </c>
      <c r="BT210" t="s">
        <v>140</v>
      </c>
      <c r="BU210" t="s">
        <v>140</v>
      </c>
      <c r="BV210" t="s">
        <v>140</v>
      </c>
      <c r="BW210" t="s">
        <v>140</v>
      </c>
      <c r="BX210" t="s">
        <v>140</v>
      </c>
      <c r="BY210" t="s">
        <v>140</v>
      </c>
      <c r="BZ210" t="s">
        <v>140</v>
      </c>
      <c r="CA210" t="s">
        <v>140</v>
      </c>
      <c r="CB210" t="s">
        <v>140</v>
      </c>
      <c r="CC210" t="s">
        <v>140</v>
      </c>
      <c r="CD210" t="s">
        <v>140</v>
      </c>
      <c r="CE210" t="s">
        <v>140</v>
      </c>
      <c r="CF210" t="s">
        <v>140</v>
      </c>
      <c r="CG210" t="s">
        <v>140</v>
      </c>
      <c r="CH210" t="s">
        <v>140</v>
      </c>
      <c r="CI210" t="s">
        <v>140</v>
      </c>
      <c r="CJ210" t="s">
        <v>140</v>
      </c>
      <c r="CK210" t="s">
        <v>140</v>
      </c>
      <c r="CL210" t="s">
        <v>140</v>
      </c>
      <c r="CM210" t="s">
        <v>140</v>
      </c>
      <c r="CN210" t="s">
        <v>140</v>
      </c>
      <c r="CO210" t="s">
        <v>140</v>
      </c>
      <c r="CP210" t="s">
        <v>140</v>
      </c>
      <c r="CQ210" t="s">
        <v>140</v>
      </c>
      <c r="CR210" t="s">
        <v>140</v>
      </c>
      <c r="CS210" t="s">
        <v>140</v>
      </c>
      <c r="CT210" t="s">
        <v>140</v>
      </c>
      <c r="CU210" t="s">
        <v>140</v>
      </c>
      <c r="CV210" t="s">
        <v>140</v>
      </c>
      <c r="CW210" t="s">
        <v>140</v>
      </c>
      <c r="CX210" t="s">
        <v>140</v>
      </c>
      <c r="CY210" t="s">
        <v>140</v>
      </c>
      <c r="CZ210" t="s">
        <v>140</v>
      </c>
      <c r="DA210" t="s">
        <v>140</v>
      </c>
      <c r="DB210" t="s">
        <v>140</v>
      </c>
      <c r="DC210" s="1">
        <v>0</v>
      </c>
      <c r="DD210" s="1">
        <v>0</v>
      </c>
      <c r="DE210" s="1">
        <v>4.09</v>
      </c>
      <c r="DF210" s="1">
        <v>5.16</v>
      </c>
      <c r="DG210" s="1">
        <v>0</v>
      </c>
      <c r="DH210" s="1">
        <v>4.78</v>
      </c>
      <c r="DI210" s="1">
        <v>0</v>
      </c>
      <c r="DJ210" s="1">
        <v>4.1399999999999997</v>
      </c>
      <c r="DK210" s="1">
        <v>0</v>
      </c>
      <c r="DL210" s="1">
        <v>4.18</v>
      </c>
      <c r="DM210" s="1">
        <v>0</v>
      </c>
      <c r="DN210" s="1">
        <v>3.25</v>
      </c>
      <c r="DO210" s="1">
        <v>0</v>
      </c>
      <c r="DP210" s="1">
        <v>4.08</v>
      </c>
      <c r="DQ210" s="1">
        <v>0</v>
      </c>
      <c r="DR210" s="1">
        <v>3.67</v>
      </c>
      <c r="DS210" s="1">
        <v>0</v>
      </c>
      <c r="DT210" s="1">
        <v>4.18</v>
      </c>
      <c r="DU210" s="1">
        <v>0</v>
      </c>
      <c r="DV210" s="1">
        <v>4.0199999999999996</v>
      </c>
      <c r="DW210" s="1">
        <v>0</v>
      </c>
      <c r="DX210" s="1">
        <v>3.55</v>
      </c>
      <c r="DY210" s="1">
        <v>3.24</v>
      </c>
      <c r="DZ210" s="1">
        <v>2.82</v>
      </c>
      <c r="EA210" s="1">
        <v>3.14</v>
      </c>
      <c r="EB210" s="1">
        <v>4.29</v>
      </c>
      <c r="EC210" s="1">
        <v>4.5599999999999996</v>
      </c>
      <c r="ED210" s="1">
        <v>4.0599999999999996</v>
      </c>
    </row>
    <row r="211" spans="1:134" x14ac:dyDescent="0.25">
      <c r="A211" t="s">
        <v>324</v>
      </c>
      <c r="B211" s="1">
        <v>3.53</v>
      </c>
      <c r="C211" s="1">
        <v>22.06</v>
      </c>
      <c r="D211" s="1">
        <v>28.48</v>
      </c>
      <c r="E211" s="1">
        <v>22.67</v>
      </c>
      <c r="F211" s="1">
        <v>26.78</v>
      </c>
      <c r="G211" s="1">
        <v>22.42</v>
      </c>
      <c r="H211" s="1">
        <v>25.05</v>
      </c>
      <c r="I211" s="1">
        <v>29.61</v>
      </c>
      <c r="J211" s="1">
        <v>36.69</v>
      </c>
      <c r="K211" s="1">
        <v>19.920000000000002</v>
      </c>
      <c r="L211" s="1">
        <v>22.11</v>
      </c>
      <c r="M211" s="1">
        <v>194.32</v>
      </c>
      <c r="N211" t="s">
        <v>141</v>
      </c>
      <c r="O211" t="s">
        <v>140</v>
      </c>
      <c r="P211" t="s">
        <v>140</v>
      </c>
      <c r="Q211" t="s">
        <v>140</v>
      </c>
      <c r="R211" t="s">
        <v>140</v>
      </c>
      <c r="S211" t="s">
        <v>140</v>
      </c>
      <c r="T211" t="s">
        <v>140</v>
      </c>
      <c r="U211" t="s">
        <v>140</v>
      </c>
      <c r="V211" t="s">
        <v>140</v>
      </c>
      <c r="W211" t="s">
        <v>140</v>
      </c>
      <c r="X211" t="s">
        <v>140</v>
      </c>
      <c r="Y211" t="s">
        <v>140</v>
      </c>
      <c r="Z211" t="s">
        <v>140</v>
      </c>
      <c r="AA211" t="s">
        <v>140</v>
      </c>
      <c r="AB211" t="s">
        <v>140</v>
      </c>
      <c r="AC211" t="s">
        <v>140</v>
      </c>
      <c r="AD211" t="s">
        <v>140</v>
      </c>
      <c r="AE211" t="s">
        <v>140</v>
      </c>
      <c r="AF211" t="s">
        <v>140</v>
      </c>
      <c r="AG211" t="s">
        <v>140</v>
      </c>
      <c r="AH211" t="s">
        <v>140</v>
      </c>
      <c r="AI211" t="s">
        <v>140</v>
      </c>
      <c r="AJ211" t="s">
        <v>140</v>
      </c>
      <c r="AK211" t="s">
        <v>140</v>
      </c>
      <c r="AL211" t="s">
        <v>140</v>
      </c>
      <c r="AM211" t="s">
        <v>140</v>
      </c>
      <c r="AN211" t="s">
        <v>140</v>
      </c>
      <c r="AO211" t="s">
        <v>140</v>
      </c>
      <c r="AP211" t="s">
        <v>140</v>
      </c>
      <c r="AQ211" t="s">
        <v>140</v>
      </c>
      <c r="AR211" t="s">
        <v>140</v>
      </c>
      <c r="AS211" t="s">
        <v>140</v>
      </c>
      <c r="AT211" t="s">
        <v>140</v>
      </c>
      <c r="AU211" t="s">
        <v>140</v>
      </c>
      <c r="AV211" t="s">
        <v>140</v>
      </c>
      <c r="AW211" t="s">
        <v>140</v>
      </c>
      <c r="AX211" t="s">
        <v>140</v>
      </c>
      <c r="AY211" t="s">
        <v>140</v>
      </c>
      <c r="AZ211" t="s">
        <v>140</v>
      </c>
      <c r="BA211" t="s">
        <v>140</v>
      </c>
      <c r="BB211" t="s">
        <v>140</v>
      </c>
      <c r="BC211" t="s">
        <v>140</v>
      </c>
      <c r="BD211" t="s">
        <v>140</v>
      </c>
      <c r="BE211" t="s">
        <v>140</v>
      </c>
      <c r="BF211" t="s">
        <v>140</v>
      </c>
      <c r="BG211" t="s">
        <v>140</v>
      </c>
      <c r="BH211" t="s">
        <v>140</v>
      </c>
      <c r="BI211" t="s">
        <v>140</v>
      </c>
      <c r="BJ211" t="s">
        <v>140</v>
      </c>
      <c r="BK211" t="s">
        <v>140</v>
      </c>
      <c r="BL211" t="s">
        <v>140</v>
      </c>
      <c r="BM211" t="s">
        <v>140</v>
      </c>
      <c r="BN211" t="s">
        <v>140</v>
      </c>
      <c r="BO211" t="s">
        <v>140</v>
      </c>
      <c r="BP211" t="s">
        <v>140</v>
      </c>
      <c r="BQ211" t="s">
        <v>140</v>
      </c>
      <c r="BR211" t="s">
        <v>140</v>
      </c>
      <c r="BS211" t="s">
        <v>140</v>
      </c>
      <c r="BT211" t="s">
        <v>140</v>
      </c>
      <c r="BU211" t="s">
        <v>140</v>
      </c>
      <c r="BV211" t="s">
        <v>140</v>
      </c>
      <c r="BW211" t="s">
        <v>140</v>
      </c>
      <c r="BX211" t="s">
        <v>140</v>
      </c>
      <c r="BY211" t="s">
        <v>140</v>
      </c>
      <c r="BZ211" t="s">
        <v>140</v>
      </c>
      <c r="CA211" t="s">
        <v>140</v>
      </c>
      <c r="CB211" t="s">
        <v>140</v>
      </c>
      <c r="CC211" t="s">
        <v>140</v>
      </c>
      <c r="CD211" t="s">
        <v>140</v>
      </c>
      <c r="CE211" t="s">
        <v>140</v>
      </c>
      <c r="CF211" t="s">
        <v>140</v>
      </c>
      <c r="CG211" t="s">
        <v>140</v>
      </c>
      <c r="CH211" t="s">
        <v>140</v>
      </c>
      <c r="CI211" t="s">
        <v>140</v>
      </c>
      <c r="CJ211" t="s">
        <v>140</v>
      </c>
      <c r="CK211" t="s">
        <v>140</v>
      </c>
      <c r="CL211" t="s">
        <v>140</v>
      </c>
      <c r="CM211" t="s">
        <v>140</v>
      </c>
      <c r="CN211" t="s">
        <v>140</v>
      </c>
      <c r="CO211" t="s">
        <v>140</v>
      </c>
      <c r="CP211" t="s">
        <v>140</v>
      </c>
      <c r="CQ211" t="s">
        <v>140</v>
      </c>
      <c r="CR211" t="s">
        <v>140</v>
      </c>
      <c r="CS211" t="s">
        <v>140</v>
      </c>
      <c r="CT211" t="s">
        <v>140</v>
      </c>
      <c r="CU211" t="s">
        <v>140</v>
      </c>
      <c r="CV211" t="s">
        <v>140</v>
      </c>
      <c r="CW211" t="s">
        <v>140</v>
      </c>
      <c r="CX211" t="s">
        <v>140</v>
      </c>
      <c r="CY211" t="s">
        <v>140</v>
      </c>
      <c r="CZ211" t="s">
        <v>140</v>
      </c>
      <c r="DA211" t="s">
        <v>140</v>
      </c>
      <c r="DB211" t="s">
        <v>140</v>
      </c>
      <c r="DC211" s="1">
        <v>0</v>
      </c>
      <c r="DD211" s="1">
        <v>0</v>
      </c>
      <c r="DE211" s="1">
        <v>0</v>
      </c>
      <c r="DF211" s="1">
        <v>0</v>
      </c>
      <c r="DG211" s="1">
        <v>4.17</v>
      </c>
      <c r="DH211" s="1">
        <v>2.69</v>
      </c>
      <c r="DI211" s="1">
        <v>5.73</v>
      </c>
      <c r="DJ211" s="1">
        <v>2.5</v>
      </c>
      <c r="DK211" s="1">
        <v>5.9</v>
      </c>
      <c r="DL211" s="1">
        <v>6.65</v>
      </c>
      <c r="DM211" s="1">
        <v>4.96</v>
      </c>
      <c r="DN211" s="1">
        <v>3.83</v>
      </c>
      <c r="DO211" s="1">
        <v>6.18</v>
      </c>
      <c r="DP211" s="1">
        <v>4.3099999999999996</v>
      </c>
      <c r="DQ211" s="1">
        <v>3.04</v>
      </c>
      <c r="DR211" s="1">
        <v>5.38</v>
      </c>
      <c r="DS211" s="1">
        <v>6.04</v>
      </c>
      <c r="DT211" s="1">
        <v>6.24</v>
      </c>
      <c r="DU211" s="1">
        <v>10.56</v>
      </c>
      <c r="DV211" s="1">
        <v>5.1100000000000003</v>
      </c>
      <c r="DW211" s="1">
        <v>5.77</v>
      </c>
      <c r="DX211" s="1">
        <v>2.0499999999999998</v>
      </c>
      <c r="DY211" s="1">
        <v>8.84</v>
      </c>
      <c r="DZ211" s="1">
        <v>8.73</v>
      </c>
      <c r="EA211" s="1">
        <v>13.81</v>
      </c>
      <c r="EB211" s="1">
        <v>0</v>
      </c>
      <c r="EC211" s="1">
        <v>0</v>
      </c>
      <c r="ED211" s="1">
        <v>14.45</v>
      </c>
    </row>
    <row r="212" spans="1:134" x14ac:dyDescent="0.25">
      <c r="A212" t="s">
        <v>325</v>
      </c>
      <c r="B212" s="1">
        <v>54356.018000000011</v>
      </c>
      <c r="C212" s="1">
        <v>65382.492999999995</v>
      </c>
      <c r="D212" s="1">
        <v>96784.937999999995</v>
      </c>
      <c r="E212" s="1">
        <v>88160.453499999989</v>
      </c>
      <c r="F212" s="1">
        <v>109546.606</v>
      </c>
      <c r="G212" s="1">
        <v>103184.90000000001</v>
      </c>
      <c r="H212" s="1">
        <v>120497.85</v>
      </c>
      <c r="I212" s="1">
        <v>144054.01999999999</v>
      </c>
      <c r="J212" s="1">
        <v>193635.576</v>
      </c>
      <c r="K212" s="1">
        <v>135204.03</v>
      </c>
      <c r="L212" s="1">
        <v>147395.68799999999</v>
      </c>
      <c r="M212" s="1">
        <v>142476.965</v>
      </c>
      <c r="N212" t="s">
        <v>141</v>
      </c>
      <c r="O212" t="s">
        <v>140</v>
      </c>
      <c r="P212" t="s">
        <v>140</v>
      </c>
      <c r="Q212" t="s">
        <v>140</v>
      </c>
      <c r="R212" t="s">
        <v>140</v>
      </c>
      <c r="S212" t="s">
        <v>140</v>
      </c>
      <c r="T212" t="s">
        <v>140</v>
      </c>
      <c r="U212" t="s">
        <v>140</v>
      </c>
      <c r="V212" t="s">
        <v>140</v>
      </c>
      <c r="W212" t="s">
        <v>140</v>
      </c>
      <c r="X212" t="s">
        <v>140</v>
      </c>
      <c r="Y212" t="s">
        <v>140</v>
      </c>
      <c r="Z212" t="s">
        <v>140</v>
      </c>
      <c r="AA212" t="s">
        <v>140</v>
      </c>
      <c r="AB212" t="s">
        <v>140</v>
      </c>
      <c r="AC212" t="s">
        <v>140</v>
      </c>
      <c r="AD212" t="s">
        <v>140</v>
      </c>
      <c r="AE212" t="s">
        <v>140</v>
      </c>
      <c r="AF212" t="s">
        <v>140</v>
      </c>
      <c r="AG212" t="s">
        <v>140</v>
      </c>
      <c r="AH212" t="s">
        <v>140</v>
      </c>
      <c r="AI212" t="s">
        <v>140</v>
      </c>
      <c r="AJ212" t="s">
        <v>140</v>
      </c>
      <c r="AK212" t="s">
        <v>140</v>
      </c>
      <c r="AL212" t="s">
        <v>140</v>
      </c>
      <c r="AM212" t="s">
        <v>140</v>
      </c>
      <c r="AN212" t="s">
        <v>140</v>
      </c>
      <c r="AO212" t="s">
        <v>140</v>
      </c>
      <c r="AP212" t="s">
        <v>140</v>
      </c>
      <c r="AQ212" t="s">
        <v>140</v>
      </c>
      <c r="AR212" t="s">
        <v>140</v>
      </c>
      <c r="AS212" t="s">
        <v>140</v>
      </c>
      <c r="AT212" t="s">
        <v>140</v>
      </c>
      <c r="AU212" t="s">
        <v>140</v>
      </c>
      <c r="AV212" t="s">
        <v>140</v>
      </c>
      <c r="AW212" t="s">
        <v>140</v>
      </c>
      <c r="AX212" t="s">
        <v>140</v>
      </c>
      <c r="AY212" t="s">
        <v>140</v>
      </c>
      <c r="AZ212" t="s">
        <v>140</v>
      </c>
      <c r="BA212" t="s">
        <v>140</v>
      </c>
      <c r="BB212" t="s">
        <v>140</v>
      </c>
      <c r="BC212" t="s">
        <v>140</v>
      </c>
      <c r="BD212" t="s">
        <v>140</v>
      </c>
      <c r="BE212" t="s">
        <v>140</v>
      </c>
      <c r="BF212" t="s">
        <v>140</v>
      </c>
      <c r="BG212" t="s">
        <v>140</v>
      </c>
      <c r="BH212" t="s">
        <v>140</v>
      </c>
      <c r="BI212" t="s">
        <v>140</v>
      </c>
      <c r="BJ212" t="s">
        <v>140</v>
      </c>
      <c r="BK212" t="s">
        <v>140</v>
      </c>
      <c r="BL212" t="s">
        <v>140</v>
      </c>
      <c r="BM212" t="s">
        <v>140</v>
      </c>
      <c r="BN212" t="s">
        <v>140</v>
      </c>
      <c r="BO212" t="s">
        <v>140</v>
      </c>
      <c r="BP212" t="s">
        <v>140</v>
      </c>
      <c r="BQ212" t="s">
        <v>140</v>
      </c>
      <c r="BR212" t="s">
        <v>140</v>
      </c>
      <c r="BS212" t="s">
        <v>140</v>
      </c>
      <c r="BT212" t="s">
        <v>140</v>
      </c>
      <c r="BU212" t="s">
        <v>140</v>
      </c>
      <c r="BV212" t="s">
        <v>140</v>
      </c>
      <c r="BW212" t="s">
        <v>140</v>
      </c>
      <c r="BX212" t="s">
        <v>140</v>
      </c>
      <c r="BY212" t="s">
        <v>140</v>
      </c>
      <c r="BZ212" t="s">
        <v>140</v>
      </c>
      <c r="CA212" t="s">
        <v>140</v>
      </c>
      <c r="CB212" t="s">
        <v>140</v>
      </c>
      <c r="CC212" t="s">
        <v>140</v>
      </c>
      <c r="CD212" t="s">
        <v>140</v>
      </c>
      <c r="CE212" t="s">
        <v>140</v>
      </c>
      <c r="CF212" t="s">
        <v>140</v>
      </c>
      <c r="CG212" t="s">
        <v>140</v>
      </c>
      <c r="CH212" t="s">
        <v>140</v>
      </c>
      <c r="CI212" t="s">
        <v>140</v>
      </c>
      <c r="CJ212" t="s">
        <v>140</v>
      </c>
      <c r="CK212" t="s">
        <v>140</v>
      </c>
      <c r="CL212" t="s">
        <v>140</v>
      </c>
      <c r="CM212" t="s">
        <v>140</v>
      </c>
      <c r="CN212" t="s">
        <v>140</v>
      </c>
      <c r="CO212" t="s">
        <v>140</v>
      </c>
      <c r="CP212" t="s">
        <v>140</v>
      </c>
      <c r="CQ212" t="s">
        <v>140</v>
      </c>
      <c r="CR212" t="s">
        <v>140</v>
      </c>
      <c r="CS212" t="s">
        <v>140</v>
      </c>
      <c r="CT212" t="s">
        <v>140</v>
      </c>
      <c r="CU212" t="s">
        <v>140</v>
      </c>
      <c r="CV212" t="s">
        <v>140</v>
      </c>
      <c r="CW212" t="s">
        <v>140</v>
      </c>
      <c r="CX212" t="s">
        <v>140</v>
      </c>
      <c r="CY212" t="s">
        <v>140</v>
      </c>
      <c r="CZ212" t="s">
        <v>140</v>
      </c>
      <c r="DA212" t="s">
        <v>140</v>
      </c>
      <c r="DB212" t="s">
        <v>140</v>
      </c>
      <c r="DC212" s="1">
        <v>0</v>
      </c>
      <c r="DD212" s="1">
        <v>0</v>
      </c>
      <c r="DE212" s="1">
        <v>37299.040800000002</v>
      </c>
      <c r="DF212" s="1">
        <v>33246.124499999998</v>
      </c>
      <c r="DG212" s="1">
        <v>37912.896000000001</v>
      </c>
      <c r="DH212" s="1">
        <v>42155.529599999994</v>
      </c>
      <c r="DI212" s="1">
        <v>51001.35</v>
      </c>
      <c r="DJ212" s="1">
        <v>54356.018000000011</v>
      </c>
      <c r="DK212" s="1">
        <v>55563.637999999999</v>
      </c>
      <c r="DL212" s="1">
        <v>65382.492999999995</v>
      </c>
      <c r="DM212" s="1">
        <v>83951.7</v>
      </c>
      <c r="DN212" s="1">
        <v>96784.937999999995</v>
      </c>
      <c r="DO212" s="1">
        <v>87929.364499999981</v>
      </c>
      <c r="DP212" s="1">
        <v>88160.453499999989</v>
      </c>
      <c r="DQ212" s="1">
        <v>102622.48999999999</v>
      </c>
      <c r="DR212" s="1">
        <v>109546.606</v>
      </c>
      <c r="DS212" s="1">
        <v>95729.974999999991</v>
      </c>
      <c r="DT212" s="1">
        <v>103184.90000000001</v>
      </c>
      <c r="DU212" s="1">
        <v>127186.38</v>
      </c>
      <c r="DV212" s="1">
        <v>120497.85</v>
      </c>
      <c r="DW212" s="1">
        <v>139252.40400000001</v>
      </c>
      <c r="DX212" s="1">
        <v>144054.01999999999</v>
      </c>
      <c r="DY212" s="1">
        <v>162728.82949999996</v>
      </c>
      <c r="DZ212" s="1">
        <v>193635.576</v>
      </c>
      <c r="EA212" s="1">
        <v>181265.7665</v>
      </c>
      <c r="EB212" s="1">
        <v>135204.03</v>
      </c>
      <c r="EC212" s="1">
        <v>129933.09</v>
      </c>
      <c r="ED212" s="1">
        <v>147395.68799999999</v>
      </c>
    </row>
    <row r="213" spans="1:134" x14ac:dyDescent="0.25">
      <c r="A213" t="s">
        <v>326</v>
      </c>
      <c r="B213" s="1">
        <v>63882.018000000011</v>
      </c>
      <c r="C213" s="1">
        <v>76265.492999999988</v>
      </c>
      <c r="D213" s="1">
        <v>107167.93799999999</v>
      </c>
      <c r="E213" s="1">
        <v>97890.453499999989</v>
      </c>
      <c r="F213" s="1">
        <v>123168.606</v>
      </c>
      <c r="G213" s="1">
        <v>129708.90000000001</v>
      </c>
      <c r="H213" s="1">
        <v>147565.85</v>
      </c>
      <c r="I213" s="1">
        <v>158624.01999999999</v>
      </c>
      <c r="J213" s="1">
        <v>211650.576</v>
      </c>
      <c r="K213" s="1">
        <v>162331.03</v>
      </c>
      <c r="L213" s="1">
        <v>183474.68799999999</v>
      </c>
      <c r="M213" s="1">
        <v>178582.965</v>
      </c>
      <c r="N213" t="s">
        <v>141</v>
      </c>
      <c r="O213" t="s">
        <v>140</v>
      </c>
      <c r="P213" t="s">
        <v>140</v>
      </c>
      <c r="Q213" t="s">
        <v>140</v>
      </c>
      <c r="R213" t="s">
        <v>140</v>
      </c>
      <c r="S213" t="s">
        <v>140</v>
      </c>
      <c r="T213" t="s">
        <v>140</v>
      </c>
      <c r="U213" t="s">
        <v>140</v>
      </c>
      <c r="V213" t="s">
        <v>140</v>
      </c>
      <c r="W213" t="s">
        <v>140</v>
      </c>
      <c r="X213" t="s">
        <v>140</v>
      </c>
      <c r="Y213" t="s">
        <v>140</v>
      </c>
      <c r="Z213" t="s">
        <v>140</v>
      </c>
      <c r="AA213" t="s">
        <v>140</v>
      </c>
      <c r="AB213" t="s">
        <v>140</v>
      </c>
      <c r="AC213" t="s">
        <v>140</v>
      </c>
      <c r="AD213" t="s">
        <v>140</v>
      </c>
      <c r="AE213" t="s">
        <v>140</v>
      </c>
      <c r="AF213" t="s">
        <v>140</v>
      </c>
      <c r="AG213" t="s">
        <v>140</v>
      </c>
      <c r="AH213" t="s">
        <v>140</v>
      </c>
      <c r="AI213" t="s">
        <v>140</v>
      </c>
      <c r="AJ213" t="s">
        <v>140</v>
      </c>
      <c r="AK213" t="s">
        <v>140</v>
      </c>
      <c r="AL213" t="s">
        <v>140</v>
      </c>
      <c r="AM213" t="s">
        <v>140</v>
      </c>
      <c r="AN213" t="s">
        <v>140</v>
      </c>
      <c r="AO213" t="s">
        <v>140</v>
      </c>
      <c r="AP213" t="s">
        <v>140</v>
      </c>
      <c r="AQ213" t="s">
        <v>140</v>
      </c>
      <c r="AR213" t="s">
        <v>140</v>
      </c>
      <c r="AS213" t="s">
        <v>140</v>
      </c>
      <c r="AT213" t="s">
        <v>140</v>
      </c>
      <c r="AU213" t="s">
        <v>140</v>
      </c>
      <c r="AV213" t="s">
        <v>140</v>
      </c>
      <c r="AW213" t="s">
        <v>140</v>
      </c>
      <c r="AX213" t="s">
        <v>140</v>
      </c>
      <c r="AY213" t="s">
        <v>140</v>
      </c>
      <c r="AZ213" t="s">
        <v>140</v>
      </c>
      <c r="BA213" t="s">
        <v>140</v>
      </c>
      <c r="BB213" t="s">
        <v>140</v>
      </c>
      <c r="BC213" t="s">
        <v>140</v>
      </c>
      <c r="BD213" t="s">
        <v>140</v>
      </c>
      <c r="BE213" t="s">
        <v>140</v>
      </c>
      <c r="BF213" t="s">
        <v>140</v>
      </c>
      <c r="BG213" t="s">
        <v>140</v>
      </c>
      <c r="BH213" t="s">
        <v>140</v>
      </c>
      <c r="BI213" t="s">
        <v>140</v>
      </c>
      <c r="BJ213" t="s">
        <v>140</v>
      </c>
      <c r="BK213" t="s">
        <v>140</v>
      </c>
      <c r="BL213" t="s">
        <v>140</v>
      </c>
      <c r="BM213" t="s">
        <v>140</v>
      </c>
      <c r="BN213" t="s">
        <v>140</v>
      </c>
      <c r="BO213" t="s">
        <v>140</v>
      </c>
      <c r="BP213" t="s">
        <v>140</v>
      </c>
      <c r="BQ213" t="s">
        <v>140</v>
      </c>
      <c r="BR213" t="s">
        <v>140</v>
      </c>
      <c r="BS213" t="s">
        <v>140</v>
      </c>
      <c r="BT213" t="s">
        <v>140</v>
      </c>
      <c r="BU213" t="s">
        <v>140</v>
      </c>
      <c r="BV213" t="s">
        <v>140</v>
      </c>
      <c r="BW213" t="s">
        <v>140</v>
      </c>
      <c r="BX213" t="s">
        <v>140</v>
      </c>
      <c r="BY213" t="s">
        <v>140</v>
      </c>
      <c r="BZ213" t="s">
        <v>140</v>
      </c>
      <c r="CA213" t="s">
        <v>140</v>
      </c>
      <c r="CB213" t="s">
        <v>140</v>
      </c>
      <c r="CC213" t="s">
        <v>140</v>
      </c>
      <c r="CD213" t="s">
        <v>140</v>
      </c>
      <c r="CE213" t="s">
        <v>140</v>
      </c>
      <c r="CF213" t="s">
        <v>140</v>
      </c>
      <c r="CG213" t="s">
        <v>140</v>
      </c>
      <c r="CH213" t="s">
        <v>140</v>
      </c>
      <c r="CI213" t="s">
        <v>140</v>
      </c>
      <c r="CJ213" t="s">
        <v>140</v>
      </c>
      <c r="CK213" t="s">
        <v>140</v>
      </c>
      <c r="CL213" t="s">
        <v>140</v>
      </c>
      <c r="CM213" t="s">
        <v>140</v>
      </c>
      <c r="CN213" t="s">
        <v>140</v>
      </c>
      <c r="CO213" t="s">
        <v>140</v>
      </c>
      <c r="CP213" t="s">
        <v>140</v>
      </c>
      <c r="CQ213" t="s">
        <v>140</v>
      </c>
      <c r="CR213" t="s">
        <v>140</v>
      </c>
      <c r="CS213" t="s">
        <v>140</v>
      </c>
      <c r="CT213" t="s">
        <v>140</v>
      </c>
      <c r="CU213" t="s">
        <v>140</v>
      </c>
      <c r="CV213" t="s">
        <v>140</v>
      </c>
      <c r="CW213" t="s">
        <v>140</v>
      </c>
      <c r="CX213" t="s">
        <v>140</v>
      </c>
      <c r="CY213" t="s">
        <v>140</v>
      </c>
      <c r="CZ213" t="s">
        <v>140</v>
      </c>
      <c r="DA213" t="s">
        <v>140</v>
      </c>
      <c r="DB213" t="s">
        <v>140</v>
      </c>
      <c r="DC213" s="1">
        <v>0</v>
      </c>
      <c r="DD213" s="1">
        <v>0</v>
      </c>
      <c r="DE213" s="1">
        <v>47990.040800000002</v>
      </c>
      <c r="DF213" s="1">
        <v>44047.124499999998</v>
      </c>
      <c r="DG213" s="1">
        <v>37912.896000000001</v>
      </c>
      <c r="DH213" s="1">
        <v>52146.529599999994</v>
      </c>
      <c r="DI213" s="1">
        <v>60819.35</v>
      </c>
      <c r="DJ213" s="1">
        <v>63882.018000000011</v>
      </c>
      <c r="DK213" s="1">
        <v>65981.638000000006</v>
      </c>
      <c r="DL213" s="1">
        <v>76265.492999999988</v>
      </c>
      <c r="DM213" s="1">
        <v>94289.7</v>
      </c>
      <c r="DN213" s="1">
        <v>107167.93799999999</v>
      </c>
      <c r="DO213" s="1">
        <v>97431.364499999981</v>
      </c>
      <c r="DP213" s="1">
        <v>97890.453499999989</v>
      </c>
      <c r="DQ213" s="1">
        <v>113334.48999999999</v>
      </c>
      <c r="DR213" s="1">
        <v>123168.606</v>
      </c>
      <c r="DS213" s="1">
        <v>121894.97499999999</v>
      </c>
      <c r="DT213" s="1">
        <v>129708.90000000001</v>
      </c>
      <c r="DU213" s="1">
        <v>156579.38</v>
      </c>
      <c r="DV213" s="1">
        <v>147565.85</v>
      </c>
      <c r="DW213" s="1">
        <v>172291.40400000001</v>
      </c>
      <c r="DX213" s="1">
        <v>158624.01999999999</v>
      </c>
      <c r="DY213" s="1">
        <v>181583.82949999996</v>
      </c>
      <c r="DZ213" s="1">
        <v>211650.576</v>
      </c>
      <c r="EA213" s="1">
        <v>203322.7665</v>
      </c>
      <c r="EB213" s="1">
        <v>162331.03</v>
      </c>
      <c r="EC213" s="1">
        <v>164322.09</v>
      </c>
      <c r="ED213" s="1">
        <v>183474.68799999999</v>
      </c>
    </row>
    <row r="214" spans="1:134" x14ac:dyDescent="0.25">
      <c r="A214" t="s">
        <v>327</v>
      </c>
      <c r="B214" s="1">
        <v>-5.79</v>
      </c>
      <c r="C214" s="1">
        <v>-6.53</v>
      </c>
      <c r="D214" s="1">
        <v>-6.39</v>
      </c>
      <c r="E214" s="1">
        <v>-6.2</v>
      </c>
      <c r="F214" s="1">
        <v>-9.42</v>
      </c>
      <c r="G214" s="1">
        <v>-15.88</v>
      </c>
      <c r="H214" s="1">
        <v>-16.73</v>
      </c>
      <c r="I214" s="1">
        <v>-12.15</v>
      </c>
      <c r="J214" s="1">
        <v>-14.89</v>
      </c>
      <c r="K214" s="1">
        <v>-19.45</v>
      </c>
      <c r="L214" s="1">
        <v>-23.36</v>
      </c>
      <c r="M214" s="1">
        <v>-23.36</v>
      </c>
      <c r="N214" t="s">
        <v>141</v>
      </c>
      <c r="O214" t="s">
        <v>140</v>
      </c>
      <c r="P214" t="s">
        <v>140</v>
      </c>
      <c r="Q214" t="s">
        <v>140</v>
      </c>
      <c r="R214" t="s">
        <v>140</v>
      </c>
      <c r="S214" t="s">
        <v>140</v>
      </c>
      <c r="T214" t="s">
        <v>140</v>
      </c>
      <c r="U214" t="s">
        <v>140</v>
      </c>
      <c r="V214" t="s">
        <v>140</v>
      </c>
      <c r="W214" t="s">
        <v>140</v>
      </c>
      <c r="X214" t="s">
        <v>140</v>
      </c>
      <c r="Y214" t="s">
        <v>140</v>
      </c>
      <c r="Z214" t="s">
        <v>140</v>
      </c>
      <c r="AA214" t="s">
        <v>140</v>
      </c>
      <c r="AB214" t="s">
        <v>140</v>
      </c>
      <c r="AC214" t="s">
        <v>140</v>
      </c>
      <c r="AD214" t="s">
        <v>140</v>
      </c>
      <c r="AE214" t="s">
        <v>140</v>
      </c>
      <c r="AF214" t="s">
        <v>140</v>
      </c>
      <c r="AG214" t="s">
        <v>140</v>
      </c>
      <c r="AH214" t="s">
        <v>140</v>
      </c>
      <c r="AI214" t="s">
        <v>140</v>
      </c>
      <c r="AJ214" t="s">
        <v>140</v>
      </c>
      <c r="AK214" t="s">
        <v>140</v>
      </c>
      <c r="AL214" t="s">
        <v>140</v>
      </c>
      <c r="AM214" t="s">
        <v>140</v>
      </c>
      <c r="AN214" t="s">
        <v>140</v>
      </c>
      <c r="AO214" t="s">
        <v>140</v>
      </c>
      <c r="AP214" t="s">
        <v>140</v>
      </c>
      <c r="AQ214" t="s">
        <v>140</v>
      </c>
      <c r="AR214" t="s">
        <v>140</v>
      </c>
      <c r="AS214" t="s">
        <v>140</v>
      </c>
      <c r="AT214" t="s">
        <v>140</v>
      </c>
      <c r="AU214" t="s">
        <v>140</v>
      </c>
      <c r="AV214" t="s">
        <v>140</v>
      </c>
      <c r="AW214" t="s">
        <v>140</v>
      </c>
      <c r="AX214" t="s">
        <v>140</v>
      </c>
      <c r="AY214" t="s">
        <v>140</v>
      </c>
      <c r="AZ214" t="s">
        <v>140</v>
      </c>
      <c r="BA214" t="s">
        <v>140</v>
      </c>
      <c r="BB214" t="s">
        <v>140</v>
      </c>
      <c r="BC214" t="s">
        <v>140</v>
      </c>
      <c r="BD214" t="s">
        <v>140</v>
      </c>
      <c r="BE214" t="s">
        <v>140</v>
      </c>
      <c r="BF214" t="s">
        <v>140</v>
      </c>
      <c r="BG214" t="s">
        <v>140</v>
      </c>
      <c r="BH214" t="s">
        <v>140</v>
      </c>
      <c r="BI214" t="s">
        <v>140</v>
      </c>
      <c r="BJ214" t="s">
        <v>140</v>
      </c>
      <c r="BK214" t="s">
        <v>140</v>
      </c>
      <c r="BL214" t="s">
        <v>140</v>
      </c>
      <c r="BM214" t="s">
        <v>140</v>
      </c>
      <c r="BN214" t="s">
        <v>140</v>
      </c>
      <c r="BO214" t="s">
        <v>140</v>
      </c>
      <c r="BP214" t="s">
        <v>140</v>
      </c>
      <c r="BQ214" t="s">
        <v>140</v>
      </c>
      <c r="BR214" t="s">
        <v>140</v>
      </c>
      <c r="BS214" t="s">
        <v>140</v>
      </c>
      <c r="BT214" t="s">
        <v>140</v>
      </c>
      <c r="BU214" t="s">
        <v>140</v>
      </c>
      <c r="BV214" t="s">
        <v>140</v>
      </c>
      <c r="BW214" t="s">
        <v>140</v>
      </c>
      <c r="BX214" t="s">
        <v>140</v>
      </c>
      <c r="BY214" t="s">
        <v>140</v>
      </c>
      <c r="BZ214" t="s">
        <v>140</v>
      </c>
      <c r="CA214" t="s">
        <v>140</v>
      </c>
      <c r="CB214" t="s">
        <v>140</v>
      </c>
      <c r="CC214" t="s">
        <v>140</v>
      </c>
      <c r="CD214" t="s">
        <v>140</v>
      </c>
      <c r="CE214" t="s">
        <v>140</v>
      </c>
      <c r="CF214" t="s">
        <v>140</v>
      </c>
      <c r="CG214" t="s">
        <v>140</v>
      </c>
      <c r="CH214" t="s">
        <v>140</v>
      </c>
      <c r="CI214" t="s">
        <v>140</v>
      </c>
      <c r="CJ214" t="s">
        <v>140</v>
      </c>
      <c r="CK214" t="s">
        <v>140</v>
      </c>
      <c r="CL214" t="s">
        <v>140</v>
      </c>
      <c r="CM214" t="s">
        <v>140</v>
      </c>
      <c r="CN214" t="s">
        <v>140</v>
      </c>
      <c r="CO214" t="s">
        <v>140</v>
      </c>
      <c r="CP214" t="s">
        <v>140</v>
      </c>
      <c r="CQ214" t="s">
        <v>140</v>
      </c>
      <c r="CR214" t="s">
        <v>140</v>
      </c>
      <c r="CS214" t="s">
        <v>140</v>
      </c>
      <c r="CT214" t="s">
        <v>140</v>
      </c>
      <c r="CU214" t="s">
        <v>140</v>
      </c>
      <c r="CV214" t="s">
        <v>140</v>
      </c>
      <c r="CW214" t="s">
        <v>140</v>
      </c>
      <c r="CX214" t="s">
        <v>140</v>
      </c>
      <c r="CY214" t="s">
        <v>140</v>
      </c>
      <c r="CZ214" t="s">
        <v>140</v>
      </c>
      <c r="DA214" t="s">
        <v>140</v>
      </c>
      <c r="DB214" t="s">
        <v>140</v>
      </c>
      <c r="DC214" s="1">
        <v>-7.4</v>
      </c>
      <c r="DD214" s="1">
        <v>-7.72</v>
      </c>
      <c r="DE214" s="1">
        <v>-8.1</v>
      </c>
      <c r="DF214" s="1">
        <v>-8.2200000000000006</v>
      </c>
      <c r="DG214" s="1">
        <v>0</v>
      </c>
      <c r="DH214" s="1">
        <v>-5.85</v>
      </c>
      <c r="DI214" s="1">
        <v>-9.08</v>
      </c>
      <c r="DJ214" s="1">
        <v>-5.79</v>
      </c>
      <c r="DK214" s="1">
        <v>-6.23</v>
      </c>
      <c r="DL214" s="1">
        <v>-6.53</v>
      </c>
      <c r="DM214" s="1">
        <v>-6.28</v>
      </c>
      <c r="DN214" s="1">
        <v>-6.39</v>
      </c>
      <c r="DO214" s="1">
        <v>-5.98</v>
      </c>
      <c r="DP214" s="1">
        <v>-6.2</v>
      </c>
      <c r="DQ214" s="1">
        <v>-6.86</v>
      </c>
      <c r="DR214" s="1">
        <v>-9.42</v>
      </c>
      <c r="DS214" s="1">
        <v>-15.41</v>
      </c>
      <c r="DT214" s="1">
        <v>-15.88</v>
      </c>
      <c r="DU214" s="1">
        <v>-17.440000000000001</v>
      </c>
      <c r="DV214" s="1">
        <v>-16.73</v>
      </c>
      <c r="DW214" s="1">
        <v>-19.809999999999999</v>
      </c>
      <c r="DX214" s="1">
        <v>-12.15</v>
      </c>
      <c r="DY214" s="1">
        <v>-14.7</v>
      </c>
      <c r="DZ214" s="1">
        <v>-14.89</v>
      </c>
      <c r="EA214" s="1">
        <v>-17.04</v>
      </c>
      <c r="EB214" s="1">
        <v>-19.45</v>
      </c>
      <c r="EC214" s="1">
        <v>-23.04</v>
      </c>
      <c r="ED214" s="1">
        <v>-23.36</v>
      </c>
    </row>
    <row r="215" spans="1:134" x14ac:dyDescent="0.25">
      <c r="A215" t="s">
        <v>328</v>
      </c>
      <c r="B215" s="1">
        <v>-5.7</v>
      </c>
      <c r="C215" s="1">
        <v>-6.42</v>
      </c>
      <c r="D215" s="1">
        <v>-6.25</v>
      </c>
      <c r="E215" s="1">
        <v>-6.07</v>
      </c>
      <c r="F215" s="1">
        <v>-9.26</v>
      </c>
      <c r="G215" s="1">
        <v>-14.28</v>
      </c>
      <c r="H215" s="1">
        <v>-16.46</v>
      </c>
      <c r="I215" s="1">
        <v>-11.77</v>
      </c>
      <c r="J215" s="1">
        <v>-14.4</v>
      </c>
      <c r="K215" s="1">
        <v>-18.61</v>
      </c>
      <c r="L215" s="1">
        <v>-21.62</v>
      </c>
      <c r="M215" s="1">
        <v>-21.62</v>
      </c>
      <c r="N215" t="s">
        <v>141</v>
      </c>
      <c r="O215" t="s">
        <v>140</v>
      </c>
      <c r="P215" t="s">
        <v>140</v>
      </c>
      <c r="Q215" t="s">
        <v>140</v>
      </c>
      <c r="R215" t="s">
        <v>140</v>
      </c>
      <c r="S215" t="s">
        <v>140</v>
      </c>
      <c r="T215" t="s">
        <v>140</v>
      </c>
      <c r="U215" t="s">
        <v>140</v>
      </c>
      <c r="V215" t="s">
        <v>140</v>
      </c>
      <c r="W215" t="s">
        <v>140</v>
      </c>
      <c r="X215" t="s">
        <v>140</v>
      </c>
      <c r="Y215" t="s">
        <v>140</v>
      </c>
      <c r="Z215" t="s">
        <v>140</v>
      </c>
      <c r="AA215" t="s">
        <v>140</v>
      </c>
      <c r="AB215" t="s">
        <v>140</v>
      </c>
      <c r="AC215" t="s">
        <v>140</v>
      </c>
      <c r="AD215" t="s">
        <v>140</v>
      </c>
      <c r="AE215" t="s">
        <v>140</v>
      </c>
      <c r="AF215" t="s">
        <v>140</v>
      </c>
      <c r="AG215" t="s">
        <v>140</v>
      </c>
      <c r="AH215" t="s">
        <v>140</v>
      </c>
      <c r="AI215" t="s">
        <v>140</v>
      </c>
      <c r="AJ215" t="s">
        <v>140</v>
      </c>
      <c r="AK215" t="s">
        <v>140</v>
      </c>
      <c r="AL215" t="s">
        <v>140</v>
      </c>
      <c r="AM215" t="s">
        <v>140</v>
      </c>
      <c r="AN215" t="s">
        <v>140</v>
      </c>
      <c r="AO215" t="s">
        <v>140</v>
      </c>
      <c r="AP215" t="s">
        <v>140</v>
      </c>
      <c r="AQ215" t="s">
        <v>140</v>
      </c>
      <c r="AR215" t="s">
        <v>140</v>
      </c>
      <c r="AS215" t="s">
        <v>140</v>
      </c>
      <c r="AT215" t="s">
        <v>140</v>
      </c>
      <c r="AU215" t="s">
        <v>140</v>
      </c>
      <c r="AV215" t="s">
        <v>140</v>
      </c>
      <c r="AW215" t="s">
        <v>140</v>
      </c>
      <c r="AX215" t="s">
        <v>140</v>
      </c>
      <c r="AY215" t="s">
        <v>140</v>
      </c>
      <c r="AZ215" t="s">
        <v>140</v>
      </c>
      <c r="BA215" t="s">
        <v>140</v>
      </c>
      <c r="BB215" t="s">
        <v>140</v>
      </c>
      <c r="BC215" t="s">
        <v>140</v>
      </c>
      <c r="BD215" t="s">
        <v>140</v>
      </c>
      <c r="BE215" t="s">
        <v>140</v>
      </c>
      <c r="BF215" t="s">
        <v>140</v>
      </c>
      <c r="BG215" t="s">
        <v>140</v>
      </c>
      <c r="BH215" t="s">
        <v>140</v>
      </c>
      <c r="BI215" t="s">
        <v>140</v>
      </c>
      <c r="BJ215" t="s">
        <v>140</v>
      </c>
      <c r="BK215" t="s">
        <v>140</v>
      </c>
      <c r="BL215" t="s">
        <v>140</v>
      </c>
      <c r="BM215" t="s">
        <v>140</v>
      </c>
      <c r="BN215" t="s">
        <v>140</v>
      </c>
      <c r="BO215" t="s">
        <v>140</v>
      </c>
      <c r="BP215" t="s">
        <v>140</v>
      </c>
      <c r="BQ215" t="s">
        <v>140</v>
      </c>
      <c r="BR215" t="s">
        <v>140</v>
      </c>
      <c r="BS215" t="s">
        <v>140</v>
      </c>
      <c r="BT215" t="s">
        <v>140</v>
      </c>
      <c r="BU215" t="s">
        <v>140</v>
      </c>
      <c r="BV215" t="s">
        <v>140</v>
      </c>
      <c r="BW215" t="s">
        <v>140</v>
      </c>
      <c r="BX215" t="s">
        <v>140</v>
      </c>
      <c r="BY215" t="s">
        <v>140</v>
      </c>
      <c r="BZ215" t="s">
        <v>140</v>
      </c>
      <c r="CA215" t="s">
        <v>140</v>
      </c>
      <c r="CB215" t="s">
        <v>140</v>
      </c>
      <c r="CC215" t="s">
        <v>140</v>
      </c>
      <c r="CD215" t="s">
        <v>140</v>
      </c>
      <c r="CE215" t="s">
        <v>140</v>
      </c>
      <c r="CF215" t="s">
        <v>140</v>
      </c>
      <c r="CG215" t="s">
        <v>140</v>
      </c>
      <c r="CH215" t="s">
        <v>140</v>
      </c>
      <c r="CI215" t="s">
        <v>140</v>
      </c>
      <c r="CJ215" t="s">
        <v>140</v>
      </c>
      <c r="CK215" t="s">
        <v>140</v>
      </c>
      <c r="CL215" t="s">
        <v>140</v>
      </c>
      <c r="CM215" t="s">
        <v>140</v>
      </c>
      <c r="CN215" t="s">
        <v>140</v>
      </c>
      <c r="CO215" t="s">
        <v>140</v>
      </c>
      <c r="CP215" t="s">
        <v>140</v>
      </c>
      <c r="CQ215" t="s">
        <v>140</v>
      </c>
      <c r="CR215" t="s">
        <v>140</v>
      </c>
      <c r="CS215" t="s">
        <v>140</v>
      </c>
      <c r="CT215" t="s">
        <v>140</v>
      </c>
      <c r="CU215" t="s">
        <v>140</v>
      </c>
      <c r="CV215" t="s">
        <v>140</v>
      </c>
      <c r="CW215" t="s">
        <v>140</v>
      </c>
      <c r="CX215" t="s">
        <v>140</v>
      </c>
      <c r="CY215" t="s">
        <v>140</v>
      </c>
      <c r="CZ215" t="s">
        <v>140</v>
      </c>
      <c r="DA215" t="s">
        <v>140</v>
      </c>
      <c r="DB215" t="s">
        <v>140</v>
      </c>
      <c r="DC215" s="1">
        <v>-7.34</v>
      </c>
      <c r="DD215" s="1">
        <v>-7.67</v>
      </c>
      <c r="DE215" s="1">
        <v>-8.0399999999999991</v>
      </c>
      <c r="DF215" s="1">
        <v>-8.15</v>
      </c>
      <c r="DG215" s="1">
        <v>0</v>
      </c>
      <c r="DH215" s="1">
        <v>-5.76</v>
      </c>
      <c r="DI215" s="1">
        <v>-8.99</v>
      </c>
      <c r="DJ215" s="1">
        <v>-5.7</v>
      </c>
      <c r="DK215" s="1">
        <v>-6.15</v>
      </c>
      <c r="DL215" s="1">
        <v>-6.42</v>
      </c>
      <c r="DM215" s="1">
        <v>-6.16</v>
      </c>
      <c r="DN215" s="1">
        <v>-6.25</v>
      </c>
      <c r="DO215" s="1">
        <v>-5.87</v>
      </c>
      <c r="DP215" s="1">
        <v>-6.07</v>
      </c>
      <c r="DQ215" s="1">
        <v>-6.02</v>
      </c>
      <c r="DR215" s="1">
        <v>-9.26</v>
      </c>
      <c r="DS215" s="1">
        <v>-14.63</v>
      </c>
      <c r="DT215" s="1">
        <v>-14.28</v>
      </c>
      <c r="DU215" s="1">
        <v>-17.2</v>
      </c>
      <c r="DV215" s="1">
        <v>-16.46</v>
      </c>
      <c r="DW215" s="1">
        <v>-19.48</v>
      </c>
      <c r="DX215" s="1">
        <v>-11.77</v>
      </c>
      <c r="DY215" s="1">
        <v>-14.27</v>
      </c>
      <c r="DZ215" s="1">
        <v>-14.4</v>
      </c>
      <c r="EA215" s="1">
        <v>-16.440000000000001</v>
      </c>
      <c r="EB215" s="1">
        <v>-18.61</v>
      </c>
      <c r="EC215" s="1">
        <v>-22.33</v>
      </c>
      <c r="ED215" s="1">
        <v>-21.62</v>
      </c>
    </row>
    <row r="216" spans="1:134" x14ac:dyDescent="0.25">
      <c r="A216" t="s">
        <v>329</v>
      </c>
      <c r="B216" s="1">
        <v>-5.79</v>
      </c>
      <c r="C216" s="1">
        <v>-6.51</v>
      </c>
      <c r="D216" s="1">
        <v>-6.37</v>
      </c>
      <c r="E216" s="1">
        <v>-6.18</v>
      </c>
      <c r="F216" s="1">
        <v>-9.39</v>
      </c>
      <c r="G216" s="1">
        <v>-15.16</v>
      </c>
      <c r="H216" s="1">
        <v>-16.7</v>
      </c>
      <c r="I216" s="1">
        <v>-12.11</v>
      </c>
      <c r="J216" s="1">
        <v>-14.85</v>
      </c>
      <c r="K216" s="1">
        <v>-19.38</v>
      </c>
      <c r="L216" s="1">
        <v>-23.27</v>
      </c>
      <c r="M216" s="1">
        <v>-23.27</v>
      </c>
      <c r="N216" t="s">
        <v>141</v>
      </c>
      <c r="O216" t="s">
        <v>140</v>
      </c>
      <c r="P216" t="s">
        <v>140</v>
      </c>
      <c r="Q216" t="s">
        <v>140</v>
      </c>
      <c r="R216" t="s">
        <v>140</v>
      </c>
      <c r="S216" t="s">
        <v>140</v>
      </c>
      <c r="T216" t="s">
        <v>140</v>
      </c>
      <c r="U216" t="s">
        <v>140</v>
      </c>
      <c r="V216" t="s">
        <v>140</v>
      </c>
      <c r="W216" t="s">
        <v>140</v>
      </c>
      <c r="X216" t="s">
        <v>140</v>
      </c>
      <c r="Y216" t="s">
        <v>140</v>
      </c>
      <c r="Z216" t="s">
        <v>140</v>
      </c>
      <c r="AA216" t="s">
        <v>140</v>
      </c>
      <c r="AB216" t="s">
        <v>140</v>
      </c>
      <c r="AC216" t="s">
        <v>140</v>
      </c>
      <c r="AD216" t="s">
        <v>140</v>
      </c>
      <c r="AE216" t="s">
        <v>140</v>
      </c>
      <c r="AF216" t="s">
        <v>140</v>
      </c>
      <c r="AG216" t="s">
        <v>140</v>
      </c>
      <c r="AH216" t="s">
        <v>140</v>
      </c>
      <c r="AI216" t="s">
        <v>140</v>
      </c>
      <c r="AJ216" t="s">
        <v>140</v>
      </c>
      <c r="AK216" t="s">
        <v>140</v>
      </c>
      <c r="AL216" t="s">
        <v>140</v>
      </c>
      <c r="AM216" t="s">
        <v>140</v>
      </c>
      <c r="AN216" t="s">
        <v>140</v>
      </c>
      <c r="AO216" t="s">
        <v>140</v>
      </c>
      <c r="AP216" t="s">
        <v>140</v>
      </c>
      <c r="AQ216" t="s">
        <v>140</v>
      </c>
      <c r="AR216" t="s">
        <v>140</v>
      </c>
      <c r="AS216" t="s">
        <v>140</v>
      </c>
      <c r="AT216" t="s">
        <v>140</v>
      </c>
      <c r="AU216" t="s">
        <v>140</v>
      </c>
      <c r="AV216" t="s">
        <v>140</v>
      </c>
      <c r="AW216" t="s">
        <v>140</v>
      </c>
      <c r="AX216" t="s">
        <v>140</v>
      </c>
      <c r="AY216" t="s">
        <v>140</v>
      </c>
      <c r="AZ216" t="s">
        <v>140</v>
      </c>
      <c r="BA216" t="s">
        <v>140</v>
      </c>
      <c r="BB216" t="s">
        <v>140</v>
      </c>
      <c r="BC216" t="s">
        <v>140</v>
      </c>
      <c r="BD216" t="s">
        <v>140</v>
      </c>
      <c r="BE216" t="s">
        <v>140</v>
      </c>
      <c r="BF216" t="s">
        <v>140</v>
      </c>
      <c r="BG216" t="s">
        <v>140</v>
      </c>
      <c r="BH216" t="s">
        <v>140</v>
      </c>
      <c r="BI216" t="s">
        <v>140</v>
      </c>
      <c r="BJ216" t="s">
        <v>140</v>
      </c>
      <c r="BK216" t="s">
        <v>140</v>
      </c>
      <c r="BL216" t="s">
        <v>140</v>
      </c>
      <c r="BM216" t="s">
        <v>140</v>
      </c>
      <c r="BN216" t="s">
        <v>140</v>
      </c>
      <c r="BO216" t="s">
        <v>140</v>
      </c>
      <c r="BP216" t="s">
        <v>140</v>
      </c>
      <c r="BQ216" t="s">
        <v>140</v>
      </c>
      <c r="BR216" t="s">
        <v>140</v>
      </c>
      <c r="BS216" t="s">
        <v>140</v>
      </c>
      <c r="BT216" t="s">
        <v>140</v>
      </c>
      <c r="BU216" t="s">
        <v>140</v>
      </c>
      <c r="BV216" t="s">
        <v>140</v>
      </c>
      <c r="BW216" t="s">
        <v>140</v>
      </c>
      <c r="BX216" t="s">
        <v>140</v>
      </c>
      <c r="BY216" t="s">
        <v>140</v>
      </c>
      <c r="BZ216" t="s">
        <v>140</v>
      </c>
      <c r="CA216" t="s">
        <v>140</v>
      </c>
      <c r="CB216" t="s">
        <v>140</v>
      </c>
      <c r="CC216" t="s">
        <v>140</v>
      </c>
      <c r="CD216" t="s">
        <v>140</v>
      </c>
      <c r="CE216" t="s">
        <v>140</v>
      </c>
      <c r="CF216" t="s">
        <v>140</v>
      </c>
      <c r="CG216" t="s">
        <v>140</v>
      </c>
      <c r="CH216" t="s">
        <v>140</v>
      </c>
      <c r="CI216" t="s">
        <v>140</v>
      </c>
      <c r="CJ216" t="s">
        <v>140</v>
      </c>
      <c r="CK216" t="s">
        <v>140</v>
      </c>
      <c r="CL216" t="s">
        <v>140</v>
      </c>
      <c r="CM216" t="s">
        <v>140</v>
      </c>
      <c r="CN216" t="s">
        <v>140</v>
      </c>
      <c r="CO216" t="s">
        <v>140</v>
      </c>
      <c r="CP216" t="s">
        <v>140</v>
      </c>
      <c r="CQ216" t="s">
        <v>140</v>
      </c>
      <c r="CR216" t="s">
        <v>140</v>
      </c>
      <c r="CS216" t="s">
        <v>140</v>
      </c>
      <c r="CT216" t="s">
        <v>140</v>
      </c>
      <c r="CU216" t="s">
        <v>140</v>
      </c>
      <c r="CV216" t="s">
        <v>140</v>
      </c>
      <c r="CW216" t="s">
        <v>140</v>
      </c>
      <c r="CX216" t="s">
        <v>140</v>
      </c>
      <c r="CY216" t="s">
        <v>140</v>
      </c>
      <c r="CZ216" t="s">
        <v>140</v>
      </c>
      <c r="DA216" t="s">
        <v>140</v>
      </c>
      <c r="DB216" t="s">
        <v>140</v>
      </c>
      <c r="DC216" s="1">
        <v>-7.36</v>
      </c>
      <c r="DD216" s="1">
        <v>-7.69</v>
      </c>
      <c r="DE216" s="1">
        <v>-8.06</v>
      </c>
      <c r="DF216" s="1">
        <v>-8.18</v>
      </c>
      <c r="DG216" s="1">
        <v>0</v>
      </c>
      <c r="DH216" s="1">
        <v>-5.85</v>
      </c>
      <c r="DI216" s="1">
        <v>-9.08</v>
      </c>
      <c r="DJ216" s="1">
        <v>-5.79</v>
      </c>
      <c r="DK216" s="1">
        <v>-6.23</v>
      </c>
      <c r="DL216" s="1">
        <v>-6.51</v>
      </c>
      <c r="DM216" s="1">
        <v>-6.22</v>
      </c>
      <c r="DN216" s="1">
        <v>-6.37</v>
      </c>
      <c r="DO216" s="1">
        <v>-5.96</v>
      </c>
      <c r="DP216" s="1">
        <v>-6.18</v>
      </c>
      <c r="DQ216" s="1">
        <v>-6.49</v>
      </c>
      <c r="DR216" s="1">
        <v>-9.39</v>
      </c>
      <c r="DS216" s="1">
        <v>-15.09</v>
      </c>
      <c r="DT216" s="1">
        <v>-15.16</v>
      </c>
      <c r="DU216" s="1">
        <v>-17.420000000000002</v>
      </c>
      <c r="DV216" s="1">
        <v>-16.7</v>
      </c>
      <c r="DW216" s="1">
        <v>-19.77</v>
      </c>
      <c r="DX216" s="1">
        <v>-12.11</v>
      </c>
      <c r="DY216" s="1">
        <v>-14.66</v>
      </c>
      <c r="DZ216" s="1">
        <v>-14.85</v>
      </c>
      <c r="EA216" s="1">
        <v>-17</v>
      </c>
      <c r="EB216" s="1">
        <v>-19.38</v>
      </c>
      <c r="EC216" s="1">
        <v>-22.97</v>
      </c>
      <c r="ED216" s="1">
        <v>-23.27</v>
      </c>
    </row>
    <row r="217" spans="1:134" x14ac:dyDescent="0.25">
      <c r="A217" t="s">
        <v>330</v>
      </c>
      <c r="B217" s="1">
        <v>34.380000000000003</v>
      </c>
      <c r="C217" s="1">
        <v>38.14</v>
      </c>
      <c r="D217" s="1">
        <v>47.28</v>
      </c>
      <c r="E217" s="1">
        <v>53.9</v>
      </c>
      <c r="F217" s="1">
        <v>64.08</v>
      </c>
      <c r="G217" s="1">
        <v>67.790000000000006</v>
      </c>
      <c r="H217" s="1">
        <v>75.290000000000006</v>
      </c>
      <c r="I217" s="1">
        <v>99.17</v>
      </c>
      <c r="J217" s="1">
        <v>102.71</v>
      </c>
      <c r="K217" s="1">
        <v>90.15</v>
      </c>
      <c r="L217" s="1">
        <v>91.38</v>
      </c>
      <c r="M217" s="1">
        <v>91.38</v>
      </c>
      <c r="N217" t="s">
        <v>141</v>
      </c>
      <c r="O217" t="s">
        <v>140</v>
      </c>
      <c r="P217" t="s">
        <v>140</v>
      </c>
      <c r="Q217" t="s">
        <v>140</v>
      </c>
      <c r="R217" t="s">
        <v>140</v>
      </c>
      <c r="S217" t="s">
        <v>140</v>
      </c>
      <c r="T217" t="s">
        <v>140</v>
      </c>
      <c r="U217" t="s">
        <v>140</v>
      </c>
      <c r="V217" t="s">
        <v>140</v>
      </c>
      <c r="W217" t="s">
        <v>140</v>
      </c>
      <c r="X217" t="s">
        <v>140</v>
      </c>
      <c r="Y217" t="s">
        <v>140</v>
      </c>
      <c r="Z217" t="s">
        <v>140</v>
      </c>
      <c r="AA217" t="s">
        <v>140</v>
      </c>
      <c r="AB217" t="s">
        <v>140</v>
      </c>
      <c r="AC217" t="s">
        <v>140</v>
      </c>
      <c r="AD217" t="s">
        <v>140</v>
      </c>
      <c r="AE217" t="s">
        <v>140</v>
      </c>
      <c r="AF217" t="s">
        <v>140</v>
      </c>
      <c r="AG217" t="s">
        <v>140</v>
      </c>
      <c r="AH217" t="s">
        <v>140</v>
      </c>
      <c r="AI217" t="s">
        <v>140</v>
      </c>
      <c r="AJ217" t="s">
        <v>140</v>
      </c>
      <c r="AK217" t="s">
        <v>140</v>
      </c>
      <c r="AL217" t="s">
        <v>140</v>
      </c>
      <c r="AM217" t="s">
        <v>140</v>
      </c>
      <c r="AN217" t="s">
        <v>140</v>
      </c>
      <c r="AO217" t="s">
        <v>140</v>
      </c>
      <c r="AP217" t="s">
        <v>140</v>
      </c>
      <c r="AQ217" t="s">
        <v>140</v>
      </c>
      <c r="AR217" t="s">
        <v>140</v>
      </c>
      <c r="AS217" t="s">
        <v>140</v>
      </c>
      <c r="AT217" t="s">
        <v>140</v>
      </c>
      <c r="AU217" t="s">
        <v>140</v>
      </c>
      <c r="AV217" t="s">
        <v>140</v>
      </c>
      <c r="AW217" t="s">
        <v>140</v>
      </c>
      <c r="AX217" t="s">
        <v>140</v>
      </c>
      <c r="AY217" t="s">
        <v>140</v>
      </c>
      <c r="AZ217" t="s">
        <v>140</v>
      </c>
      <c r="BA217" t="s">
        <v>140</v>
      </c>
      <c r="BB217" t="s">
        <v>140</v>
      </c>
      <c r="BC217" t="s">
        <v>140</v>
      </c>
      <c r="BD217" t="s">
        <v>140</v>
      </c>
      <c r="BE217" t="s">
        <v>140</v>
      </c>
      <c r="BF217" t="s">
        <v>140</v>
      </c>
      <c r="BG217" t="s">
        <v>140</v>
      </c>
      <c r="BH217" t="s">
        <v>140</v>
      </c>
      <c r="BI217" t="s">
        <v>140</v>
      </c>
      <c r="BJ217" t="s">
        <v>140</v>
      </c>
      <c r="BK217" t="s">
        <v>140</v>
      </c>
      <c r="BL217" t="s">
        <v>140</v>
      </c>
      <c r="BM217" t="s">
        <v>140</v>
      </c>
      <c r="BN217" t="s">
        <v>140</v>
      </c>
      <c r="BO217" t="s">
        <v>140</v>
      </c>
      <c r="BP217" t="s">
        <v>140</v>
      </c>
      <c r="BQ217" t="s">
        <v>140</v>
      </c>
      <c r="BR217" t="s">
        <v>140</v>
      </c>
      <c r="BS217" t="s">
        <v>140</v>
      </c>
      <c r="BT217" t="s">
        <v>140</v>
      </c>
      <c r="BU217" t="s">
        <v>140</v>
      </c>
      <c r="BV217" t="s">
        <v>140</v>
      </c>
      <c r="BW217" t="s">
        <v>140</v>
      </c>
      <c r="BX217" t="s">
        <v>140</v>
      </c>
      <c r="BY217" t="s">
        <v>140</v>
      </c>
      <c r="BZ217" t="s">
        <v>140</v>
      </c>
      <c r="CA217" t="s">
        <v>140</v>
      </c>
      <c r="CB217" t="s">
        <v>140</v>
      </c>
      <c r="CC217" t="s">
        <v>140</v>
      </c>
      <c r="CD217" t="s">
        <v>140</v>
      </c>
      <c r="CE217" t="s">
        <v>140</v>
      </c>
      <c r="CF217" t="s">
        <v>140</v>
      </c>
      <c r="CG217" t="s">
        <v>140</v>
      </c>
      <c r="CH217" t="s">
        <v>140</v>
      </c>
      <c r="CI217" t="s">
        <v>140</v>
      </c>
      <c r="CJ217" t="s">
        <v>140</v>
      </c>
      <c r="CK217" t="s">
        <v>140</v>
      </c>
      <c r="CL217" t="s">
        <v>140</v>
      </c>
      <c r="CM217" t="s">
        <v>140</v>
      </c>
      <c r="CN217" t="s">
        <v>140</v>
      </c>
      <c r="CO217" t="s">
        <v>140</v>
      </c>
      <c r="CP217" t="s">
        <v>140</v>
      </c>
      <c r="CQ217" t="s">
        <v>140</v>
      </c>
      <c r="CR217" t="s">
        <v>140</v>
      </c>
      <c r="CS217" t="s">
        <v>140</v>
      </c>
      <c r="CT217" t="s">
        <v>140</v>
      </c>
      <c r="CU217" t="s">
        <v>140</v>
      </c>
      <c r="CV217" t="s">
        <v>140</v>
      </c>
      <c r="CW217" t="s">
        <v>140</v>
      </c>
      <c r="CX217" t="s">
        <v>140</v>
      </c>
      <c r="CY217" t="s">
        <v>140</v>
      </c>
      <c r="CZ217" t="s">
        <v>140</v>
      </c>
      <c r="DA217" t="s">
        <v>140</v>
      </c>
      <c r="DB217" t="s">
        <v>140</v>
      </c>
      <c r="DC217" s="1">
        <v>0</v>
      </c>
      <c r="DD217" s="1">
        <v>0</v>
      </c>
      <c r="DE217" s="1">
        <v>0</v>
      </c>
      <c r="DF217" s="1">
        <v>0</v>
      </c>
      <c r="DG217" s="1">
        <v>0</v>
      </c>
      <c r="DH217" s="1">
        <v>0</v>
      </c>
      <c r="DI217" s="1">
        <v>0</v>
      </c>
      <c r="DJ217" s="1">
        <v>34.380000000000003</v>
      </c>
      <c r="DK217" s="1">
        <v>0</v>
      </c>
      <c r="DL217" s="1">
        <v>38.14</v>
      </c>
      <c r="DM217" s="1">
        <v>8.8800000000000008</v>
      </c>
      <c r="DN217" s="1">
        <v>47.28</v>
      </c>
      <c r="DO217" s="1">
        <v>0</v>
      </c>
      <c r="DP217" s="1">
        <v>53.9</v>
      </c>
      <c r="DQ217" s="1">
        <v>0</v>
      </c>
      <c r="DR217" s="1">
        <v>64.08</v>
      </c>
      <c r="DS217" s="1">
        <v>0</v>
      </c>
      <c r="DT217" s="1">
        <v>67.790000000000006</v>
      </c>
      <c r="DU217" s="1">
        <v>0</v>
      </c>
      <c r="DV217" s="1">
        <v>75.290000000000006</v>
      </c>
      <c r="DW217" s="1">
        <v>0</v>
      </c>
      <c r="DX217" s="1">
        <v>99.17</v>
      </c>
      <c r="DY217" s="1">
        <v>0</v>
      </c>
      <c r="DZ217" s="1">
        <v>102.71</v>
      </c>
      <c r="EA217" s="1">
        <v>0</v>
      </c>
      <c r="EB217" s="1">
        <v>90.15</v>
      </c>
      <c r="EC217" s="1">
        <v>0</v>
      </c>
      <c r="ED217" s="1">
        <v>91.38</v>
      </c>
    </row>
    <row r="218" spans="1:134" x14ac:dyDescent="0.25">
      <c r="A218" t="s">
        <v>331</v>
      </c>
      <c r="B218" s="1">
        <v>0</v>
      </c>
      <c r="C218" s="1">
        <v>0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59.38</v>
      </c>
      <c r="J218" s="1">
        <v>64.05</v>
      </c>
      <c r="K218" s="1">
        <v>71.739999999999995</v>
      </c>
      <c r="L218" s="1">
        <v>73.17</v>
      </c>
      <c r="M218" s="1">
        <v>73.17</v>
      </c>
      <c r="N218" t="s">
        <v>141</v>
      </c>
      <c r="O218" t="s">
        <v>140</v>
      </c>
      <c r="P218" t="s">
        <v>140</v>
      </c>
      <c r="Q218" t="s">
        <v>140</v>
      </c>
      <c r="R218" t="s">
        <v>140</v>
      </c>
      <c r="S218" t="s">
        <v>140</v>
      </c>
      <c r="T218" t="s">
        <v>140</v>
      </c>
      <c r="U218" t="s">
        <v>140</v>
      </c>
      <c r="V218" t="s">
        <v>140</v>
      </c>
      <c r="W218" t="s">
        <v>140</v>
      </c>
      <c r="X218" t="s">
        <v>140</v>
      </c>
      <c r="Y218" t="s">
        <v>140</v>
      </c>
      <c r="Z218" t="s">
        <v>140</v>
      </c>
      <c r="AA218" t="s">
        <v>140</v>
      </c>
      <c r="AB218" t="s">
        <v>140</v>
      </c>
      <c r="AC218" t="s">
        <v>140</v>
      </c>
      <c r="AD218" t="s">
        <v>140</v>
      </c>
      <c r="AE218" t="s">
        <v>140</v>
      </c>
      <c r="AF218" t="s">
        <v>140</v>
      </c>
      <c r="AG218" t="s">
        <v>140</v>
      </c>
      <c r="AH218" t="s">
        <v>140</v>
      </c>
      <c r="AI218" t="s">
        <v>140</v>
      </c>
      <c r="AJ218" t="s">
        <v>140</v>
      </c>
      <c r="AK218" t="s">
        <v>140</v>
      </c>
      <c r="AL218" t="s">
        <v>140</v>
      </c>
      <c r="AM218" t="s">
        <v>140</v>
      </c>
      <c r="AN218" t="s">
        <v>140</v>
      </c>
      <c r="AO218" t="s">
        <v>140</v>
      </c>
      <c r="AP218" t="s">
        <v>140</v>
      </c>
      <c r="AQ218" t="s">
        <v>140</v>
      </c>
      <c r="AR218" t="s">
        <v>140</v>
      </c>
      <c r="AS218" t="s">
        <v>140</v>
      </c>
      <c r="AT218" t="s">
        <v>140</v>
      </c>
      <c r="AU218" t="s">
        <v>140</v>
      </c>
      <c r="AV218" t="s">
        <v>140</v>
      </c>
      <c r="AW218" t="s">
        <v>140</v>
      </c>
      <c r="AX218" t="s">
        <v>140</v>
      </c>
      <c r="AY218" t="s">
        <v>140</v>
      </c>
      <c r="AZ218" t="s">
        <v>140</v>
      </c>
      <c r="BA218" t="s">
        <v>140</v>
      </c>
      <c r="BB218" t="s">
        <v>140</v>
      </c>
      <c r="BC218" t="s">
        <v>140</v>
      </c>
      <c r="BD218" t="s">
        <v>140</v>
      </c>
      <c r="BE218" t="s">
        <v>140</v>
      </c>
      <c r="BF218" t="s">
        <v>140</v>
      </c>
      <c r="BG218" t="s">
        <v>140</v>
      </c>
      <c r="BH218" t="s">
        <v>140</v>
      </c>
      <c r="BI218" t="s">
        <v>140</v>
      </c>
      <c r="BJ218" t="s">
        <v>140</v>
      </c>
      <c r="BK218" t="s">
        <v>140</v>
      </c>
      <c r="BL218" t="s">
        <v>140</v>
      </c>
      <c r="BM218" t="s">
        <v>140</v>
      </c>
      <c r="BN218" t="s">
        <v>140</v>
      </c>
      <c r="BO218" t="s">
        <v>140</v>
      </c>
      <c r="BP218" t="s">
        <v>140</v>
      </c>
      <c r="BQ218" t="s">
        <v>140</v>
      </c>
      <c r="BR218" t="s">
        <v>140</v>
      </c>
      <c r="BS218" t="s">
        <v>140</v>
      </c>
      <c r="BT218" t="s">
        <v>140</v>
      </c>
      <c r="BU218" t="s">
        <v>140</v>
      </c>
      <c r="BV218" t="s">
        <v>140</v>
      </c>
      <c r="BW218" t="s">
        <v>140</v>
      </c>
      <c r="BX218" t="s">
        <v>140</v>
      </c>
      <c r="BY218" t="s">
        <v>140</v>
      </c>
      <c r="BZ218" t="s">
        <v>140</v>
      </c>
      <c r="CA218" t="s">
        <v>140</v>
      </c>
      <c r="CB218" t="s">
        <v>140</v>
      </c>
      <c r="CC218" t="s">
        <v>140</v>
      </c>
      <c r="CD218" t="s">
        <v>140</v>
      </c>
      <c r="CE218" t="s">
        <v>140</v>
      </c>
      <c r="CF218" t="s">
        <v>140</v>
      </c>
      <c r="CG218" t="s">
        <v>140</v>
      </c>
      <c r="CH218" t="s">
        <v>140</v>
      </c>
      <c r="CI218" t="s">
        <v>140</v>
      </c>
      <c r="CJ218" t="s">
        <v>140</v>
      </c>
      <c r="CK218" t="s">
        <v>140</v>
      </c>
      <c r="CL218" t="s">
        <v>140</v>
      </c>
      <c r="CM218" t="s">
        <v>140</v>
      </c>
      <c r="CN218" t="s">
        <v>140</v>
      </c>
      <c r="CO218" t="s">
        <v>140</v>
      </c>
      <c r="CP218" t="s">
        <v>140</v>
      </c>
      <c r="CQ218" t="s">
        <v>140</v>
      </c>
      <c r="CR218" t="s">
        <v>140</v>
      </c>
      <c r="CS218" t="s">
        <v>140</v>
      </c>
      <c r="CT218" t="s">
        <v>140</v>
      </c>
      <c r="CU218" t="s">
        <v>140</v>
      </c>
      <c r="CV218" t="s">
        <v>140</v>
      </c>
      <c r="CW218" t="s">
        <v>140</v>
      </c>
      <c r="CX218" t="s">
        <v>140</v>
      </c>
      <c r="CY218" t="s">
        <v>140</v>
      </c>
      <c r="CZ218" t="s">
        <v>140</v>
      </c>
      <c r="DA218" t="s">
        <v>140</v>
      </c>
      <c r="DB218" t="s">
        <v>140</v>
      </c>
      <c r="DC218" s="1">
        <v>0</v>
      </c>
      <c r="DD218" s="1">
        <v>0</v>
      </c>
      <c r="DE218" s="1">
        <v>0</v>
      </c>
      <c r="DF218" s="1">
        <v>0</v>
      </c>
      <c r="DG218" s="1">
        <v>0</v>
      </c>
      <c r="DH218" s="1">
        <v>0</v>
      </c>
      <c r="DI218" s="1">
        <v>0</v>
      </c>
      <c r="DJ218" s="1">
        <v>0</v>
      </c>
      <c r="DK218" s="1">
        <v>0</v>
      </c>
      <c r="DL218" s="1">
        <v>0</v>
      </c>
      <c r="DM218" s="1">
        <v>0</v>
      </c>
      <c r="DN218" s="1">
        <v>0</v>
      </c>
      <c r="DO218" s="1">
        <v>0</v>
      </c>
      <c r="DP218" s="1">
        <v>0</v>
      </c>
      <c r="DQ218" s="1">
        <v>0</v>
      </c>
      <c r="DR218" s="1">
        <v>0</v>
      </c>
      <c r="DS218" s="1">
        <v>0</v>
      </c>
      <c r="DT218" s="1">
        <v>0</v>
      </c>
      <c r="DU218" s="1">
        <v>0</v>
      </c>
      <c r="DV218" s="1">
        <v>0</v>
      </c>
      <c r="DW218" s="1">
        <v>0</v>
      </c>
      <c r="DX218" s="1">
        <v>59.38</v>
      </c>
      <c r="DY218" s="1">
        <v>0</v>
      </c>
      <c r="DZ218" s="1">
        <v>64.05</v>
      </c>
      <c r="EA218" s="1">
        <v>0</v>
      </c>
      <c r="EB218" s="1">
        <v>71.739999999999995</v>
      </c>
      <c r="EC218" s="1">
        <v>0</v>
      </c>
      <c r="ED218" s="1">
        <v>73.17</v>
      </c>
    </row>
    <row r="219" spans="1:134" x14ac:dyDescent="0.25">
      <c r="A219" t="s">
        <v>332</v>
      </c>
      <c r="B219" s="1">
        <v>172.25</v>
      </c>
      <c r="C219" s="1">
        <v>94.41</v>
      </c>
      <c r="D219" s="1">
        <v>230.75</v>
      </c>
      <c r="E219" s="1">
        <v>187.75</v>
      </c>
      <c r="F219" s="1">
        <v>165.95</v>
      </c>
      <c r="G219" s="1">
        <v>65.069999999999993</v>
      </c>
      <c r="H219" s="1">
        <v>68.52</v>
      </c>
      <c r="I219" s="1">
        <v>265.92</v>
      </c>
      <c r="J219" s="1">
        <v>94.07</v>
      </c>
      <c r="K219" s="1">
        <v>0</v>
      </c>
      <c r="L219" s="1">
        <v>0</v>
      </c>
      <c r="M219" s="1">
        <v>0</v>
      </c>
      <c r="N219" t="s">
        <v>141</v>
      </c>
      <c r="O219" t="s">
        <v>140</v>
      </c>
      <c r="P219" t="s">
        <v>140</v>
      </c>
      <c r="Q219" t="s">
        <v>140</v>
      </c>
      <c r="R219" t="s">
        <v>140</v>
      </c>
      <c r="S219" t="s">
        <v>140</v>
      </c>
      <c r="T219" t="s">
        <v>140</v>
      </c>
      <c r="U219" t="s">
        <v>140</v>
      </c>
      <c r="V219" t="s">
        <v>140</v>
      </c>
      <c r="W219" t="s">
        <v>140</v>
      </c>
      <c r="X219" t="s">
        <v>140</v>
      </c>
      <c r="Y219" t="s">
        <v>140</v>
      </c>
      <c r="Z219" t="s">
        <v>140</v>
      </c>
      <c r="AA219" t="s">
        <v>140</v>
      </c>
      <c r="AB219" t="s">
        <v>140</v>
      </c>
      <c r="AC219" t="s">
        <v>140</v>
      </c>
      <c r="AD219" t="s">
        <v>140</v>
      </c>
      <c r="AE219" t="s">
        <v>140</v>
      </c>
      <c r="AF219" t="s">
        <v>140</v>
      </c>
      <c r="AG219" t="s">
        <v>140</v>
      </c>
      <c r="AH219" t="s">
        <v>140</v>
      </c>
      <c r="AI219" t="s">
        <v>140</v>
      </c>
      <c r="AJ219" t="s">
        <v>140</v>
      </c>
      <c r="AK219" t="s">
        <v>140</v>
      </c>
      <c r="AL219" t="s">
        <v>140</v>
      </c>
      <c r="AM219" t="s">
        <v>140</v>
      </c>
      <c r="AN219" t="s">
        <v>140</v>
      </c>
      <c r="AO219" t="s">
        <v>140</v>
      </c>
      <c r="AP219" t="s">
        <v>140</v>
      </c>
      <c r="AQ219" t="s">
        <v>140</v>
      </c>
      <c r="AR219" t="s">
        <v>140</v>
      </c>
      <c r="AS219" t="s">
        <v>140</v>
      </c>
      <c r="AT219" t="s">
        <v>140</v>
      </c>
      <c r="AU219" t="s">
        <v>140</v>
      </c>
      <c r="AV219" t="s">
        <v>140</v>
      </c>
      <c r="AW219" t="s">
        <v>140</v>
      </c>
      <c r="AX219" t="s">
        <v>140</v>
      </c>
      <c r="AY219" t="s">
        <v>140</v>
      </c>
      <c r="AZ219" t="s">
        <v>140</v>
      </c>
      <c r="BA219" t="s">
        <v>140</v>
      </c>
      <c r="BB219" t="s">
        <v>140</v>
      </c>
      <c r="BC219" t="s">
        <v>140</v>
      </c>
      <c r="BD219" t="s">
        <v>140</v>
      </c>
      <c r="BE219" t="s">
        <v>140</v>
      </c>
      <c r="BF219" t="s">
        <v>140</v>
      </c>
      <c r="BG219" t="s">
        <v>140</v>
      </c>
      <c r="BH219" t="s">
        <v>140</v>
      </c>
      <c r="BI219" t="s">
        <v>140</v>
      </c>
      <c r="BJ219" t="s">
        <v>140</v>
      </c>
      <c r="BK219" t="s">
        <v>140</v>
      </c>
      <c r="BL219" t="s">
        <v>140</v>
      </c>
      <c r="BM219" t="s">
        <v>140</v>
      </c>
      <c r="BN219" t="s">
        <v>140</v>
      </c>
      <c r="BO219" t="s">
        <v>140</v>
      </c>
      <c r="BP219" t="s">
        <v>140</v>
      </c>
      <c r="BQ219" t="s">
        <v>140</v>
      </c>
      <c r="BR219" t="s">
        <v>140</v>
      </c>
      <c r="BS219" t="s">
        <v>140</v>
      </c>
      <c r="BT219" t="s">
        <v>140</v>
      </c>
      <c r="BU219" t="s">
        <v>140</v>
      </c>
      <c r="BV219" t="s">
        <v>140</v>
      </c>
      <c r="BW219" t="s">
        <v>140</v>
      </c>
      <c r="BX219" t="s">
        <v>140</v>
      </c>
      <c r="BY219" t="s">
        <v>140</v>
      </c>
      <c r="BZ219" t="s">
        <v>140</v>
      </c>
      <c r="CA219" t="s">
        <v>140</v>
      </c>
      <c r="CB219" t="s">
        <v>140</v>
      </c>
      <c r="CC219" t="s">
        <v>140</v>
      </c>
      <c r="CD219" t="s">
        <v>140</v>
      </c>
      <c r="CE219" t="s">
        <v>140</v>
      </c>
      <c r="CF219" t="s">
        <v>140</v>
      </c>
      <c r="CG219" t="s">
        <v>140</v>
      </c>
      <c r="CH219" t="s">
        <v>140</v>
      </c>
      <c r="CI219" t="s">
        <v>140</v>
      </c>
      <c r="CJ219" t="s">
        <v>140</v>
      </c>
      <c r="CK219" t="s">
        <v>140</v>
      </c>
      <c r="CL219" t="s">
        <v>140</v>
      </c>
      <c r="CM219" t="s">
        <v>140</v>
      </c>
      <c r="CN219" t="s">
        <v>140</v>
      </c>
      <c r="CO219" t="s">
        <v>140</v>
      </c>
      <c r="CP219" t="s">
        <v>140</v>
      </c>
      <c r="CQ219" t="s">
        <v>140</v>
      </c>
      <c r="CR219" t="s">
        <v>140</v>
      </c>
      <c r="CS219" t="s">
        <v>140</v>
      </c>
      <c r="CT219" t="s">
        <v>140</v>
      </c>
      <c r="CU219" t="s">
        <v>140</v>
      </c>
      <c r="CV219" t="s">
        <v>140</v>
      </c>
      <c r="CW219" t="s">
        <v>140</v>
      </c>
      <c r="CX219" t="s">
        <v>140</v>
      </c>
      <c r="CY219" t="s">
        <v>140</v>
      </c>
      <c r="CZ219" t="s">
        <v>140</v>
      </c>
      <c r="DA219" t="s">
        <v>140</v>
      </c>
      <c r="DB219" t="s">
        <v>140</v>
      </c>
      <c r="DC219" s="1">
        <v>0</v>
      </c>
      <c r="DD219" s="1">
        <v>0</v>
      </c>
      <c r="DE219" s="1">
        <v>0</v>
      </c>
      <c r="DF219" s="1">
        <v>0</v>
      </c>
      <c r="DG219" s="1">
        <v>0</v>
      </c>
      <c r="DH219" s="1">
        <v>54.09</v>
      </c>
      <c r="DI219" s="1">
        <v>0</v>
      </c>
      <c r="DJ219" s="1">
        <v>172.25</v>
      </c>
      <c r="DK219" s="1">
        <v>0</v>
      </c>
      <c r="DL219" s="1">
        <v>94.41</v>
      </c>
      <c r="DM219" s="1">
        <v>0</v>
      </c>
      <c r="DN219" s="1">
        <v>230.75</v>
      </c>
      <c r="DO219" s="1">
        <v>0</v>
      </c>
      <c r="DP219" s="1">
        <v>187.75</v>
      </c>
      <c r="DQ219" s="1">
        <v>0</v>
      </c>
      <c r="DR219" s="1">
        <v>165.95</v>
      </c>
      <c r="DS219" s="1">
        <v>0</v>
      </c>
      <c r="DT219" s="1">
        <v>65.069999999999993</v>
      </c>
      <c r="DU219" s="1">
        <v>0</v>
      </c>
      <c r="DV219" s="1">
        <v>68.52</v>
      </c>
      <c r="DW219" s="1">
        <v>0</v>
      </c>
      <c r="DX219" s="1">
        <v>265.92</v>
      </c>
      <c r="DY219" s="1">
        <v>0</v>
      </c>
      <c r="DZ219" s="1">
        <v>94.07</v>
      </c>
      <c r="EA219" s="1">
        <v>0</v>
      </c>
      <c r="EB219" s="1">
        <v>0</v>
      </c>
      <c r="EC219" s="1">
        <v>0</v>
      </c>
      <c r="ED219" s="1">
        <v>0</v>
      </c>
    </row>
    <row r="220" spans="1:134" x14ac:dyDescent="0.25">
      <c r="A220" t="s">
        <v>333</v>
      </c>
      <c r="B220" s="1">
        <v>61.63</v>
      </c>
      <c r="C220" s="1">
        <v>51.48</v>
      </c>
      <c r="D220" s="1">
        <v>85.91</v>
      </c>
      <c r="E220" s="1">
        <v>83.79</v>
      </c>
      <c r="F220" s="1">
        <v>116.88</v>
      </c>
      <c r="G220" s="1">
        <v>95.67</v>
      </c>
      <c r="H220" s="1">
        <v>105.4</v>
      </c>
      <c r="I220" s="1">
        <v>201.1</v>
      </c>
      <c r="J220" s="1">
        <v>138.57</v>
      </c>
      <c r="K220" s="1">
        <v>0</v>
      </c>
      <c r="L220" s="1">
        <v>31.23</v>
      </c>
      <c r="M220" s="1">
        <v>31.23</v>
      </c>
      <c r="N220" t="s">
        <v>141</v>
      </c>
      <c r="O220" t="s">
        <v>140</v>
      </c>
      <c r="P220" t="s">
        <v>140</v>
      </c>
      <c r="Q220" t="s">
        <v>140</v>
      </c>
      <c r="R220" t="s">
        <v>140</v>
      </c>
      <c r="S220" t="s">
        <v>140</v>
      </c>
      <c r="T220" t="s">
        <v>140</v>
      </c>
      <c r="U220" t="s">
        <v>140</v>
      </c>
      <c r="V220" t="s">
        <v>140</v>
      </c>
      <c r="W220" t="s">
        <v>140</v>
      </c>
      <c r="X220" t="s">
        <v>140</v>
      </c>
      <c r="Y220" t="s">
        <v>140</v>
      </c>
      <c r="Z220" t="s">
        <v>140</v>
      </c>
      <c r="AA220" t="s">
        <v>140</v>
      </c>
      <c r="AB220" t="s">
        <v>140</v>
      </c>
      <c r="AC220" t="s">
        <v>140</v>
      </c>
      <c r="AD220" t="s">
        <v>140</v>
      </c>
      <c r="AE220" t="s">
        <v>140</v>
      </c>
      <c r="AF220" t="s">
        <v>140</v>
      </c>
      <c r="AG220" t="s">
        <v>140</v>
      </c>
      <c r="AH220" t="s">
        <v>140</v>
      </c>
      <c r="AI220" t="s">
        <v>140</v>
      </c>
      <c r="AJ220" t="s">
        <v>140</v>
      </c>
      <c r="AK220" t="s">
        <v>140</v>
      </c>
      <c r="AL220" t="s">
        <v>140</v>
      </c>
      <c r="AM220" t="s">
        <v>140</v>
      </c>
      <c r="AN220" t="s">
        <v>140</v>
      </c>
      <c r="AO220" t="s">
        <v>140</v>
      </c>
      <c r="AP220" t="s">
        <v>140</v>
      </c>
      <c r="AQ220" t="s">
        <v>140</v>
      </c>
      <c r="AR220" t="s">
        <v>140</v>
      </c>
      <c r="AS220" t="s">
        <v>140</v>
      </c>
      <c r="AT220" t="s">
        <v>140</v>
      </c>
      <c r="AU220" t="s">
        <v>140</v>
      </c>
      <c r="AV220" t="s">
        <v>140</v>
      </c>
      <c r="AW220" t="s">
        <v>140</v>
      </c>
      <c r="AX220" t="s">
        <v>140</v>
      </c>
      <c r="AY220" t="s">
        <v>140</v>
      </c>
      <c r="AZ220" t="s">
        <v>140</v>
      </c>
      <c r="BA220" t="s">
        <v>140</v>
      </c>
      <c r="BB220" t="s">
        <v>140</v>
      </c>
      <c r="BC220" t="s">
        <v>140</v>
      </c>
      <c r="BD220" t="s">
        <v>140</v>
      </c>
      <c r="BE220" t="s">
        <v>140</v>
      </c>
      <c r="BF220" t="s">
        <v>140</v>
      </c>
      <c r="BG220" t="s">
        <v>140</v>
      </c>
      <c r="BH220" t="s">
        <v>140</v>
      </c>
      <c r="BI220" t="s">
        <v>140</v>
      </c>
      <c r="BJ220" t="s">
        <v>140</v>
      </c>
      <c r="BK220" t="s">
        <v>140</v>
      </c>
      <c r="BL220" t="s">
        <v>140</v>
      </c>
      <c r="BM220" t="s">
        <v>140</v>
      </c>
      <c r="BN220" t="s">
        <v>140</v>
      </c>
      <c r="BO220" t="s">
        <v>140</v>
      </c>
      <c r="BP220" t="s">
        <v>140</v>
      </c>
      <c r="BQ220" t="s">
        <v>140</v>
      </c>
      <c r="BR220" t="s">
        <v>140</v>
      </c>
      <c r="BS220" t="s">
        <v>140</v>
      </c>
      <c r="BT220" t="s">
        <v>140</v>
      </c>
      <c r="BU220" t="s">
        <v>140</v>
      </c>
      <c r="BV220" t="s">
        <v>140</v>
      </c>
      <c r="BW220" t="s">
        <v>140</v>
      </c>
      <c r="BX220" t="s">
        <v>140</v>
      </c>
      <c r="BY220" t="s">
        <v>140</v>
      </c>
      <c r="BZ220" t="s">
        <v>140</v>
      </c>
      <c r="CA220" t="s">
        <v>140</v>
      </c>
      <c r="CB220" t="s">
        <v>140</v>
      </c>
      <c r="CC220" t="s">
        <v>140</v>
      </c>
      <c r="CD220" t="s">
        <v>140</v>
      </c>
      <c r="CE220" t="s">
        <v>140</v>
      </c>
      <c r="CF220" t="s">
        <v>140</v>
      </c>
      <c r="CG220" t="s">
        <v>140</v>
      </c>
      <c r="CH220" t="s">
        <v>140</v>
      </c>
      <c r="CI220" t="s">
        <v>140</v>
      </c>
      <c r="CJ220" t="s">
        <v>140</v>
      </c>
      <c r="CK220" t="s">
        <v>140</v>
      </c>
      <c r="CL220" t="s">
        <v>140</v>
      </c>
      <c r="CM220" t="s">
        <v>140</v>
      </c>
      <c r="CN220" t="s">
        <v>140</v>
      </c>
      <c r="CO220" t="s">
        <v>140</v>
      </c>
      <c r="CP220" t="s">
        <v>140</v>
      </c>
      <c r="CQ220" t="s">
        <v>140</v>
      </c>
      <c r="CR220" t="s">
        <v>140</v>
      </c>
      <c r="CS220" t="s">
        <v>140</v>
      </c>
      <c r="CT220" t="s">
        <v>140</v>
      </c>
      <c r="CU220" t="s">
        <v>140</v>
      </c>
      <c r="CV220" t="s">
        <v>140</v>
      </c>
      <c r="CW220" t="s">
        <v>140</v>
      </c>
      <c r="CX220" t="s">
        <v>140</v>
      </c>
      <c r="CY220" t="s">
        <v>140</v>
      </c>
      <c r="CZ220" t="s">
        <v>140</v>
      </c>
      <c r="DA220" t="s">
        <v>140</v>
      </c>
      <c r="DB220" t="s">
        <v>140</v>
      </c>
      <c r="DC220" s="1">
        <v>0</v>
      </c>
      <c r="DD220" s="1">
        <v>0</v>
      </c>
      <c r="DE220" s="1">
        <v>0</v>
      </c>
      <c r="DF220" s="1">
        <v>0</v>
      </c>
      <c r="DG220" s="1">
        <v>0</v>
      </c>
      <c r="DH220" s="1">
        <v>47.29</v>
      </c>
      <c r="DI220" s="1">
        <v>45.7</v>
      </c>
      <c r="DJ220" s="1">
        <v>61.63</v>
      </c>
      <c r="DK220" s="1">
        <v>63.85</v>
      </c>
      <c r="DL220" s="1">
        <v>51.42</v>
      </c>
      <c r="DM220" s="1">
        <v>63.65</v>
      </c>
      <c r="DN220" s="1">
        <v>85.91</v>
      </c>
      <c r="DO220" s="1">
        <v>85.69</v>
      </c>
      <c r="DP220" s="1">
        <v>83.79</v>
      </c>
      <c r="DQ220" s="1">
        <v>112.96</v>
      </c>
      <c r="DR220" s="1">
        <v>116.88</v>
      </c>
      <c r="DS220" s="1">
        <v>98.3</v>
      </c>
      <c r="DT220" s="1">
        <v>95.6</v>
      </c>
      <c r="DU220" s="1">
        <v>90.88</v>
      </c>
      <c r="DV220" s="1">
        <v>105.4</v>
      </c>
      <c r="DW220" s="1">
        <v>127.25</v>
      </c>
      <c r="DX220" s="1">
        <v>201.1</v>
      </c>
      <c r="DY220" s="1">
        <v>198.36</v>
      </c>
      <c r="DZ220" s="1">
        <v>138.57</v>
      </c>
      <c r="EA220" s="1">
        <v>130.62</v>
      </c>
      <c r="EB220" s="1">
        <v>0</v>
      </c>
      <c r="EC220" s="1">
        <v>0</v>
      </c>
      <c r="ED220" s="1">
        <v>31.23</v>
      </c>
    </row>
    <row r="221" spans="1:134" x14ac:dyDescent="0.25">
      <c r="A221" t="s">
        <v>334</v>
      </c>
      <c r="B221" s="1">
        <v>23.19</v>
      </c>
      <c r="C221" s="1">
        <v>21.31</v>
      </c>
      <c r="D221" s="1">
        <v>25.62</v>
      </c>
      <c r="E221" s="1">
        <v>24.54</v>
      </c>
      <c r="F221" s="1">
        <v>14.67</v>
      </c>
      <c r="G221" s="1">
        <v>11.68</v>
      </c>
      <c r="H221" s="1">
        <v>14.33</v>
      </c>
      <c r="I221" s="1">
        <v>23.11</v>
      </c>
      <c r="J221" s="1">
        <v>24.53</v>
      </c>
      <c r="K221" s="1">
        <v>23.13</v>
      </c>
      <c r="L221" s="1">
        <v>16.37</v>
      </c>
      <c r="M221" s="1">
        <v>16.37</v>
      </c>
      <c r="N221" t="s">
        <v>141</v>
      </c>
      <c r="O221" t="s">
        <v>140</v>
      </c>
      <c r="P221" t="s">
        <v>140</v>
      </c>
      <c r="Q221" t="s">
        <v>140</v>
      </c>
      <c r="R221" t="s">
        <v>140</v>
      </c>
      <c r="S221" t="s">
        <v>140</v>
      </c>
      <c r="T221" t="s">
        <v>140</v>
      </c>
      <c r="U221" t="s">
        <v>140</v>
      </c>
      <c r="V221" t="s">
        <v>140</v>
      </c>
      <c r="W221" t="s">
        <v>140</v>
      </c>
      <c r="X221" t="s">
        <v>140</v>
      </c>
      <c r="Y221" t="s">
        <v>140</v>
      </c>
      <c r="Z221" t="s">
        <v>140</v>
      </c>
      <c r="AA221" t="s">
        <v>140</v>
      </c>
      <c r="AB221" t="s">
        <v>140</v>
      </c>
      <c r="AC221" t="s">
        <v>140</v>
      </c>
      <c r="AD221" t="s">
        <v>140</v>
      </c>
      <c r="AE221" t="s">
        <v>140</v>
      </c>
      <c r="AF221" t="s">
        <v>140</v>
      </c>
      <c r="AG221" t="s">
        <v>140</v>
      </c>
      <c r="AH221" t="s">
        <v>140</v>
      </c>
      <c r="AI221" t="s">
        <v>140</v>
      </c>
      <c r="AJ221" t="s">
        <v>140</v>
      </c>
      <c r="AK221" t="s">
        <v>140</v>
      </c>
      <c r="AL221" t="s">
        <v>140</v>
      </c>
      <c r="AM221" t="s">
        <v>140</v>
      </c>
      <c r="AN221" t="s">
        <v>140</v>
      </c>
      <c r="AO221" t="s">
        <v>140</v>
      </c>
      <c r="AP221" t="s">
        <v>140</v>
      </c>
      <c r="AQ221" t="s">
        <v>140</v>
      </c>
      <c r="AR221" t="s">
        <v>140</v>
      </c>
      <c r="AS221" t="s">
        <v>140</v>
      </c>
      <c r="AT221" t="s">
        <v>140</v>
      </c>
      <c r="AU221" t="s">
        <v>140</v>
      </c>
      <c r="AV221" t="s">
        <v>140</v>
      </c>
      <c r="AW221" t="s">
        <v>140</v>
      </c>
      <c r="AX221" t="s">
        <v>140</v>
      </c>
      <c r="AY221" t="s">
        <v>140</v>
      </c>
      <c r="AZ221" t="s">
        <v>140</v>
      </c>
      <c r="BA221" t="s">
        <v>140</v>
      </c>
      <c r="BB221" t="s">
        <v>140</v>
      </c>
      <c r="BC221" t="s">
        <v>140</v>
      </c>
      <c r="BD221" t="s">
        <v>140</v>
      </c>
      <c r="BE221" t="s">
        <v>140</v>
      </c>
      <c r="BF221" t="s">
        <v>140</v>
      </c>
      <c r="BG221" t="s">
        <v>140</v>
      </c>
      <c r="BH221" t="s">
        <v>140</v>
      </c>
      <c r="BI221" t="s">
        <v>140</v>
      </c>
      <c r="BJ221" t="s">
        <v>140</v>
      </c>
      <c r="BK221" t="s">
        <v>140</v>
      </c>
      <c r="BL221" t="s">
        <v>140</v>
      </c>
      <c r="BM221" t="s">
        <v>140</v>
      </c>
      <c r="BN221" t="s">
        <v>140</v>
      </c>
      <c r="BO221" t="s">
        <v>140</v>
      </c>
      <c r="BP221" t="s">
        <v>140</v>
      </c>
      <c r="BQ221" t="s">
        <v>140</v>
      </c>
      <c r="BR221" t="s">
        <v>140</v>
      </c>
      <c r="BS221" t="s">
        <v>140</v>
      </c>
      <c r="BT221" t="s">
        <v>140</v>
      </c>
      <c r="BU221" t="s">
        <v>140</v>
      </c>
      <c r="BV221" t="s">
        <v>140</v>
      </c>
      <c r="BW221" t="s">
        <v>140</v>
      </c>
      <c r="BX221" t="s">
        <v>140</v>
      </c>
      <c r="BY221" t="s">
        <v>140</v>
      </c>
      <c r="BZ221" t="s">
        <v>140</v>
      </c>
      <c r="CA221" t="s">
        <v>140</v>
      </c>
      <c r="CB221" t="s">
        <v>140</v>
      </c>
      <c r="CC221" t="s">
        <v>140</v>
      </c>
      <c r="CD221" t="s">
        <v>140</v>
      </c>
      <c r="CE221" t="s">
        <v>140</v>
      </c>
      <c r="CF221" t="s">
        <v>140</v>
      </c>
      <c r="CG221" t="s">
        <v>140</v>
      </c>
      <c r="CH221" t="s">
        <v>140</v>
      </c>
      <c r="CI221" t="s">
        <v>140</v>
      </c>
      <c r="CJ221" t="s">
        <v>140</v>
      </c>
      <c r="CK221" t="s">
        <v>140</v>
      </c>
      <c r="CL221" t="s">
        <v>140</v>
      </c>
      <c r="CM221" t="s">
        <v>140</v>
      </c>
      <c r="CN221" t="s">
        <v>140</v>
      </c>
      <c r="CO221" t="s">
        <v>140</v>
      </c>
      <c r="CP221" t="s">
        <v>140</v>
      </c>
      <c r="CQ221" t="s">
        <v>140</v>
      </c>
      <c r="CR221" t="s">
        <v>140</v>
      </c>
      <c r="CS221" t="s">
        <v>140</v>
      </c>
      <c r="CT221" t="s">
        <v>140</v>
      </c>
      <c r="CU221" t="s">
        <v>140</v>
      </c>
      <c r="CV221" t="s">
        <v>140</v>
      </c>
      <c r="CW221" t="s">
        <v>140</v>
      </c>
      <c r="CX221" t="s">
        <v>140</v>
      </c>
      <c r="CY221" t="s">
        <v>140</v>
      </c>
      <c r="CZ221" t="s">
        <v>140</v>
      </c>
      <c r="DA221" t="s">
        <v>140</v>
      </c>
      <c r="DB221" t="s">
        <v>140</v>
      </c>
      <c r="DC221" s="1">
        <v>0</v>
      </c>
      <c r="DD221" s="1">
        <v>0</v>
      </c>
      <c r="DE221" s="1">
        <v>0</v>
      </c>
      <c r="DF221" s="1">
        <v>0</v>
      </c>
      <c r="DG221" s="1">
        <v>0</v>
      </c>
      <c r="DH221" s="1">
        <v>23.01</v>
      </c>
      <c r="DI221" s="1">
        <v>0</v>
      </c>
      <c r="DJ221" s="1">
        <v>23.19</v>
      </c>
      <c r="DK221" s="1">
        <v>0</v>
      </c>
      <c r="DL221" s="1">
        <v>21.31</v>
      </c>
      <c r="DM221" s="1">
        <v>0</v>
      </c>
      <c r="DN221" s="1">
        <v>25.62</v>
      </c>
      <c r="DO221" s="1">
        <v>0</v>
      </c>
      <c r="DP221" s="1">
        <v>24.54</v>
      </c>
      <c r="DQ221" s="1">
        <v>0</v>
      </c>
      <c r="DR221" s="1">
        <v>14.67</v>
      </c>
      <c r="DS221" s="1">
        <v>0</v>
      </c>
      <c r="DT221" s="1">
        <v>11.68</v>
      </c>
      <c r="DU221" s="1">
        <v>0</v>
      </c>
      <c r="DV221" s="1">
        <v>14.33</v>
      </c>
      <c r="DW221" s="1">
        <v>0</v>
      </c>
      <c r="DX221" s="1">
        <v>23.11</v>
      </c>
      <c r="DY221" s="1">
        <v>0</v>
      </c>
      <c r="DZ221" s="1">
        <v>24.53</v>
      </c>
      <c r="EA221" s="1">
        <v>0</v>
      </c>
      <c r="EB221" s="1">
        <v>23.13</v>
      </c>
      <c r="EC221" s="1">
        <v>0</v>
      </c>
      <c r="ED221" s="1">
        <v>16.37</v>
      </c>
    </row>
    <row r="222" spans="1:134" x14ac:dyDescent="0.25">
      <c r="A222" t="s">
        <v>335</v>
      </c>
      <c r="B222" s="1">
        <v>3.16</v>
      </c>
      <c r="C222" s="1">
        <v>2.88</v>
      </c>
      <c r="D222" s="1">
        <v>4.05</v>
      </c>
      <c r="E222" s="1">
        <v>3.66</v>
      </c>
      <c r="F222" s="1">
        <v>3.32</v>
      </c>
      <c r="G222" s="1">
        <v>2.13</v>
      </c>
      <c r="H222" s="1">
        <v>2.33</v>
      </c>
      <c r="I222" s="1">
        <v>3.15</v>
      </c>
      <c r="J222" s="1">
        <v>3.48</v>
      </c>
      <c r="K222" s="1">
        <v>1.52</v>
      </c>
      <c r="L222" s="1">
        <v>1.82</v>
      </c>
      <c r="M222" s="1">
        <v>1.76</v>
      </c>
      <c r="N222" t="s">
        <v>141</v>
      </c>
      <c r="O222" t="s">
        <v>140</v>
      </c>
      <c r="P222" t="s">
        <v>140</v>
      </c>
      <c r="Q222" t="s">
        <v>140</v>
      </c>
      <c r="R222" t="s">
        <v>140</v>
      </c>
      <c r="S222" t="s">
        <v>140</v>
      </c>
      <c r="T222" t="s">
        <v>140</v>
      </c>
      <c r="U222" t="s">
        <v>140</v>
      </c>
      <c r="V222" t="s">
        <v>140</v>
      </c>
      <c r="W222" t="s">
        <v>140</v>
      </c>
      <c r="X222" t="s">
        <v>140</v>
      </c>
      <c r="Y222" t="s">
        <v>140</v>
      </c>
      <c r="Z222" t="s">
        <v>140</v>
      </c>
      <c r="AA222" t="s">
        <v>140</v>
      </c>
      <c r="AB222" t="s">
        <v>140</v>
      </c>
      <c r="AC222" t="s">
        <v>140</v>
      </c>
      <c r="AD222" t="s">
        <v>140</v>
      </c>
      <c r="AE222" t="s">
        <v>140</v>
      </c>
      <c r="AF222" t="s">
        <v>140</v>
      </c>
      <c r="AG222" t="s">
        <v>140</v>
      </c>
      <c r="AH222" t="s">
        <v>140</v>
      </c>
      <c r="AI222" t="s">
        <v>140</v>
      </c>
      <c r="AJ222" t="s">
        <v>140</v>
      </c>
      <c r="AK222" t="s">
        <v>140</v>
      </c>
      <c r="AL222" t="s">
        <v>140</v>
      </c>
      <c r="AM222" t="s">
        <v>140</v>
      </c>
      <c r="AN222" t="s">
        <v>140</v>
      </c>
      <c r="AO222" t="s">
        <v>140</v>
      </c>
      <c r="AP222" t="s">
        <v>140</v>
      </c>
      <c r="AQ222" t="s">
        <v>140</v>
      </c>
      <c r="AR222" t="s">
        <v>140</v>
      </c>
      <c r="AS222" t="s">
        <v>140</v>
      </c>
      <c r="AT222" t="s">
        <v>140</v>
      </c>
      <c r="AU222" t="s">
        <v>140</v>
      </c>
      <c r="AV222" t="s">
        <v>140</v>
      </c>
      <c r="AW222" t="s">
        <v>140</v>
      </c>
      <c r="AX222" t="s">
        <v>140</v>
      </c>
      <c r="AY222" t="s">
        <v>140</v>
      </c>
      <c r="AZ222" t="s">
        <v>140</v>
      </c>
      <c r="BA222" t="s">
        <v>140</v>
      </c>
      <c r="BB222" t="s">
        <v>140</v>
      </c>
      <c r="BC222" t="s">
        <v>140</v>
      </c>
      <c r="BD222" t="s">
        <v>140</v>
      </c>
      <c r="BE222" t="s">
        <v>140</v>
      </c>
      <c r="BF222" t="s">
        <v>140</v>
      </c>
      <c r="BG222" t="s">
        <v>140</v>
      </c>
      <c r="BH222" t="s">
        <v>140</v>
      </c>
      <c r="BI222" t="s">
        <v>140</v>
      </c>
      <c r="BJ222" t="s">
        <v>140</v>
      </c>
      <c r="BK222" t="s">
        <v>140</v>
      </c>
      <c r="BL222" t="s">
        <v>140</v>
      </c>
      <c r="BM222" t="s">
        <v>140</v>
      </c>
      <c r="BN222" t="s">
        <v>140</v>
      </c>
      <c r="BO222" t="s">
        <v>140</v>
      </c>
      <c r="BP222" t="s">
        <v>140</v>
      </c>
      <c r="BQ222" t="s">
        <v>140</v>
      </c>
      <c r="BR222" t="s">
        <v>140</v>
      </c>
      <c r="BS222" t="s">
        <v>140</v>
      </c>
      <c r="BT222" t="s">
        <v>140</v>
      </c>
      <c r="BU222" t="s">
        <v>140</v>
      </c>
      <c r="BV222" t="s">
        <v>140</v>
      </c>
      <c r="BW222" t="s">
        <v>140</v>
      </c>
      <c r="BX222" t="s">
        <v>140</v>
      </c>
      <c r="BY222" t="s">
        <v>140</v>
      </c>
      <c r="BZ222" t="s">
        <v>140</v>
      </c>
      <c r="CA222" t="s">
        <v>140</v>
      </c>
      <c r="CB222" t="s">
        <v>140</v>
      </c>
      <c r="CC222" t="s">
        <v>140</v>
      </c>
      <c r="CD222" t="s">
        <v>140</v>
      </c>
      <c r="CE222" t="s">
        <v>140</v>
      </c>
      <c r="CF222" t="s">
        <v>140</v>
      </c>
      <c r="CG222" t="s">
        <v>140</v>
      </c>
      <c r="CH222" t="s">
        <v>140</v>
      </c>
      <c r="CI222" t="s">
        <v>140</v>
      </c>
      <c r="CJ222" t="s">
        <v>140</v>
      </c>
      <c r="CK222" t="s">
        <v>140</v>
      </c>
      <c r="CL222" t="s">
        <v>140</v>
      </c>
      <c r="CM222" t="s">
        <v>140</v>
      </c>
      <c r="CN222" t="s">
        <v>140</v>
      </c>
      <c r="CO222" t="s">
        <v>140</v>
      </c>
      <c r="CP222" t="s">
        <v>140</v>
      </c>
      <c r="CQ222" t="s">
        <v>140</v>
      </c>
      <c r="CR222" t="s">
        <v>140</v>
      </c>
      <c r="CS222" t="s">
        <v>140</v>
      </c>
      <c r="CT222" t="s">
        <v>140</v>
      </c>
      <c r="CU222" t="s">
        <v>140</v>
      </c>
      <c r="CV222" t="s">
        <v>140</v>
      </c>
      <c r="CW222" t="s">
        <v>140</v>
      </c>
      <c r="CX222" t="s">
        <v>140</v>
      </c>
      <c r="CY222" t="s">
        <v>140</v>
      </c>
      <c r="CZ222" t="s">
        <v>140</v>
      </c>
      <c r="DA222" t="s">
        <v>140</v>
      </c>
      <c r="DB222" t="s">
        <v>140</v>
      </c>
      <c r="DC222" s="1">
        <v>0</v>
      </c>
      <c r="DD222" s="1">
        <v>0</v>
      </c>
      <c r="DE222" s="1">
        <v>1.62</v>
      </c>
      <c r="DF222" s="1">
        <v>1.17</v>
      </c>
      <c r="DG222" s="1">
        <v>0</v>
      </c>
      <c r="DH222" s="1">
        <v>2.65</v>
      </c>
      <c r="DI222" s="1">
        <v>0</v>
      </c>
      <c r="DJ222" s="1">
        <v>3.16</v>
      </c>
      <c r="DK222" s="1">
        <v>0</v>
      </c>
      <c r="DL222" s="1">
        <v>2.88</v>
      </c>
      <c r="DM222" s="1">
        <v>0</v>
      </c>
      <c r="DN222" s="1">
        <v>4.05</v>
      </c>
      <c r="DO222" s="1">
        <v>0</v>
      </c>
      <c r="DP222" s="1">
        <v>3.66</v>
      </c>
      <c r="DQ222" s="1">
        <v>0</v>
      </c>
      <c r="DR222" s="1">
        <v>3.32</v>
      </c>
      <c r="DS222" s="1">
        <v>0</v>
      </c>
      <c r="DT222" s="1">
        <v>2.13</v>
      </c>
      <c r="DU222" s="1">
        <v>0</v>
      </c>
      <c r="DV222" s="1">
        <v>2.33</v>
      </c>
      <c r="DW222" s="1">
        <v>0</v>
      </c>
      <c r="DX222" s="1">
        <v>3.15</v>
      </c>
      <c r="DY222" s="1">
        <v>0</v>
      </c>
      <c r="DZ222" s="1">
        <v>3.48</v>
      </c>
      <c r="EA222" s="1">
        <v>0</v>
      </c>
      <c r="EB222" s="1">
        <v>1.52</v>
      </c>
      <c r="EC222" s="1">
        <v>0</v>
      </c>
      <c r="ED222" s="1">
        <v>1.82</v>
      </c>
    </row>
    <row r="223" spans="1:134" x14ac:dyDescent="0.25">
      <c r="A223" t="s">
        <v>336</v>
      </c>
      <c r="B223" s="1">
        <v>5</v>
      </c>
      <c r="C223" s="1">
        <v>4</v>
      </c>
      <c r="D223" s="1">
        <v>5</v>
      </c>
      <c r="E223" s="1">
        <v>4</v>
      </c>
      <c r="F223" s="1">
        <v>6</v>
      </c>
      <c r="G223" s="1">
        <v>5</v>
      </c>
      <c r="H223" s="1">
        <v>5</v>
      </c>
      <c r="I223" s="1">
        <v>8</v>
      </c>
      <c r="J223" s="1">
        <v>6</v>
      </c>
      <c r="K223" s="1">
        <v>5</v>
      </c>
      <c r="L223" s="1">
        <v>6</v>
      </c>
      <c r="M223" s="1">
        <v>6</v>
      </c>
      <c r="N223" t="s">
        <v>141</v>
      </c>
      <c r="O223" t="s">
        <v>140</v>
      </c>
      <c r="P223" t="s">
        <v>140</v>
      </c>
      <c r="Q223" t="s">
        <v>140</v>
      </c>
      <c r="R223" t="s">
        <v>140</v>
      </c>
      <c r="S223" t="s">
        <v>140</v>
      </c>
      <c r="T223" t="s">
        <v>140</v>
      </c>
      <c r="U223" t="s">
        <v>140</v>
      </c>
      <c r="V223" t="s">
        <v>140</v>
      </c>
      <c r="W223" t="s">
        <v>140</v>
      </c>
      <c r="X223" t="s">
        <v>140</v>
      </c>
      <c r="Y223" t="s">
        <v>140</v>
      </c>
      <c r="Z223" t="s">
        <v>140</v>
      </c>
      <c r="AA223" t="s">
        <v>140</v>
      </c>
      <c r="AB223" t="s">
        <v>140</v>
      </c>
      <c r="AC223" t="s">
        <v>140</v>
      </c>
      <c r="AD223" t="s">
        <v>140</v>
      </c>
      <c r="AE223" t="s">
        <v>140</v>
      </c>
      <c r="AF223" t="s">
        <v>140</v>
      </c>
      <c r="AG223" t="s">
        <v>140</v>
      </c>
      <c r="AH223" t="s">
        <v>140</v>
      </c>
      <c r="AI223" t="s">
        <v>140</v>
      </c>
      <c r="AJ223" t="s">
        <v>140</v>
      </c>
      <c r="AK223" t="s">
        <v>140</v>
      </c>
      <c r="AL223" t="s">
        <v>140</v>
      </c>
      <c r="AM223" t="s">
        <v>140</v>
      </c>
      <c r="AN223" t="s">
        <v>140</v>
      </c>
      <c r="AO223" t="s">
        <v>140</v>
      </c>
      <c r="AP223" t="s">
        <v>140</v>
      </c>
      <c r="AQ223" t="s">
        <v>140</v>
      </c>
      <c r="AR223" t="s">
        <v>140</v>
      </c>
      <c r="AS223" t="s">
        <v>140</v>
      </c>
      <c r="AT223" t="s">
        <v>140</v>
      </c>
      <c r="AU223" t="s">
        <v>140</v>
      </c>
      <c r="AV223" t="s">
        <v>140</v>
      </c>
      <c r="AW223" t="s">
        <v>140</v>
      </c>
      <c r="AX223" t="s">
        <v>140</v>
      </c>
      <c r="AY223" t="s">
        <v>140</v>
      </c>
      <c r="AZ223" t="s">
        <v>140</v>
      </c>
      <c r="BA223" t="s">
        <v>140</v>
      </c>
      <c r="BB223" t="s">
        <v>140</v>
      </c>
      <c r="BC223" t="s">
        <v>140</v>
      </c>
      <c r="BD223" t="s">
        <v>140</v>
      </c>
      <c r="BE223" t="s">
        <v>140</v>
      </c>
      <c r="BF223" t="s">
        <v>140</v>
      </c>
      <c r="BG223" t="s">
        <v>140</v>
      </c>
      <c r="BH223" t="s">
        <v>140</v>
      </c>
      <c r="BI223" t="s">
        <v>140</v>
      </c>
      <c r="BJ223" t="s">
        <v>140</v>
      </c>
      <c r="BK223" t="s">
        <v>140</v>
      </c>
      <c r="BL223" t="s">
        <v>140</v>
      </c>
      <c r="BM223" t="s">
        <v>140</v>
      </c>
      <c r="BN223" t="s">
        <v>140</v>
      </c>
      <c r="BO223" t="s">
        <v>140</v>
      </c>
      <c r="BP223" t="s">
        <v>140</v>
      </c>
      <c r="BQ223" t="s">
        <v>140</v>
      </c>
      <c r="BR223" t="s">
        <v>140</v>
      </c>
      <c r="BS223" t="s">
        <v>140</v>
      </c>
      <c r="BT223" t="s">
        <v>140</v>
      </c>
      <c r="BU223" t="s">
        <v>140</v>
      </c>
      <c r="BV223" t="s">
        <v>140</v>
      </c>
      <c r="BW223" t="s">
        <v>140</v>
      </c>
      <c r="BX223" t="s">
        <v>140</v>
      </c>
      <c r="BY223" t="s">
        <v>140</v>
      </c>
      <c r="BZ223" t="s">
        <v>140</v>
      </c>
      <c r="CA223" t="s">
        <v>140</v>
      </c>
      <c r="CB223" t="s">
        <v>140</v>
      </c>
      <c r="CC223" t="s">
        <v>140</v>
      </c>
      <c r="CD223" t="s">
        <v>140</v>
      </c>
      <c r="CE223" t="s">
        <v>140</v>
      </c>
      <c r="CF223" t="s">
        <v>140</v>
      </c>
      <c r="CG223" t="s">
        <v>140</v>
      </c>
      <c r="CH223" t="s">
        <v>140</v>
      </c>
      <c r="CI223" t="s">
        <v>140</v>
      </c>
      <c r="CJ223" t="s">
        <v>140</v>
      </c>
      <c r="CK223" t="s">
        <v>140</v>
      </c>
      <c r="CL223" t="s">
        <v>140</v>
      </c>
      <c r="CM223" t="s">
        <v>140</v>
      </c>
      <c r="CN223" t="s">
        <v>140</v>
      </c>
      <c r="CO223" t="s">
        <v>140</v>
      </c>
      <c r="CP223" t="s">
        <v>140</v>
      </c>
      <c r="CQ223" t="s">
        <v>140</v>
      </c>
      <c r="CR223" t="s">
        <v>140</v>
      </c>
      <c r="CS223" t="s">
        <v>140</v>
      </c>
      <c r="CT223" t="s">
        <v>140</v>
      </c>
      <c r="CU223" t="s">
        <v>140</v>
      </c>
      <c r="CV223" t="s">
        <v>140</v>
      </c>
      <c r="CW223" t="s">
        <v>140</v>
      </c>
      <c r="CX223" t="s">
        <v>140</v>
      </c>
      <c r="CY223" t="s">
        <v>140</v>
      </c>
      <c r="CZ223" t="s">
        <v>140</v>
      </c>
      <c r="DA223" t="s">
        <v>140</v>
      </c>
      <c r="DB223" t="s">
        <v>140</v>
      </c>
      <c r="DC223" t="s">
        <v>140</v>
      </c>
      <c r="DD223" t="s">
        <v>140</v>
      </c>
      <c r="DE223" s="1">
        <v>5</v>
      </c>
      <c r="DF223" s="1">
        <v>5</v>
      </c>
      <c r="DG223" s="1">
        <v>0</v>
      </c>
      <c r="DH223" s="1">
        <v>7</v>
      </c>
      <c r="DI223" s="1">
        <v>0</v>
      </c>
      <c r="DJ223" s="1">
        <v>5</v>
      </c>
      <c r="DK223" s="1">
        <v>0</v>
      </c>
      <c r="DL223" s="1">
        <v>4</v>
      </c>
      <c r="DM223" s="1">
        <v>0</v>
      </c>
      <c r="DN223" s="1">
        <v>5</v>
      </c>
      <c r="DO223" s="1">
        <v>0</v>
      </c>
      <c r="DP223" s="1">
        <v>4</v>
      </c>
      <c r="DQ223" s="1">
        <v>0</v>
      </c>
      <c r="DR223" s="1">
        <v>6</v>
      </c>
      <c r="DS223" s="1">
        <v>0</v>
      </c>
      <c r="DT223" s="1">
        <v>5</v>
      </c>
      <c r="DU223" s="1">
        <v>0</v>
      </c>
      <c r="DV223" s="1">
        <v>5</v>
      </c>
      <c r="DW223" s="1">
        <v>0</v>
      </c>
      <c r="DX223" s="1">
        <v>8</v>
      </c>
      <c r="DY223" s="1">
        <v>0</v>
      </c>
      <c r="DZ223" s="1">
        <v>6</v>
      </c>
      <c r="EA223" s="1">
        <v>0</v>
      </c>
      <c r="EB223" s="1">
        <v>5</v>
      </c>
      <c r="EC223" s="1">
        <v>0</v>
      </c>
      <c r="ED223" s="1">
        <v>6</v>
      </c>
    </row>
    <row r="224" spans="1:134" x14ac:dyDescent="0.25">
      <c r="A224" t="s">
        <v>337</v>
      </c>
      <c r="B224" s="1">
        <v>-1.64</v>
      </c>
      <c r="C224" s="1">
        <v>-2.14</v>
      </c>
      <c r="D224" s="1">
        <v>-1.33</v>
      </c>
      <c r="E224" s="1">
        <v>-1.94</v>
      </c>
      <c r="F224" s="1">
        <v>-1.52</v>
      </c>
      <c r="G224" s="1">
        <v>-2.25</v>
      </c>
      <c r="H224" s="1">
        <v>-2.27</v>
      </c>
      <c r="I224" s="1">
        <v>-1.19</v>
      </c>
      <c r="J224" s="1">
        <v>-2.06</v>
      </c>
      <c r="K224" s="1">
        <v>-2.2799999999999998</v>
      </c>
      <c r="L224" s="1">
        <v>-2.4700000000000002</v>
      </c>
      <c r="M224" s="1">
        <v>-2.4700000000000002</v>
      </c>
      <c r="N224" t="s">
        <v>141</v>
      </c>
      <c r="O224" t="s">
        <v>140</v>
      </c>
      <c r="P224" t="s">
        <v>140</v>
      </c>
      <c r="Q224" t="s">
        <v>140</v>
      </c>
      <c r="R224" t="s">
        <v>140</v>
      </c>
      <c r="S224" t="s">
        <v>140</v>
      </c>
      <c r="T224" t="s">
        <v>140</v>
      </c>
      <c r="U224" t="s">
        <v>140</v>
      </c>
      <c r="V224" t="s">
        <v>140</v>
      </c>
      <c r="W224" t="s">
        <v>140</v>
      </c>
      <c r="X224" t="s">
        <v>140</v>
      </c>
      <c r="Y224" t="s">
        <v>140</v>
      </c>
      <c r="Z224" t="s">
        <v>140</v>
      </c>
      <c r="AA224" t="s">
        <v>140</v>
      </c>
      <c r="AB224" t="s">
        <v>140</v>
      </c>
      <c r="AC224" t="s">
        <v>140</v>
      </c>
      <c r="AD224" t="s">
        <v>140</v>
      </c>
      <c r="AE224" t="s">
        <v>140</v>
      </c>
      <c r="AF224" t="s">
        <v>140</v>
      </c>
      <c r="AG224" t="s">
        <v>140</v>
      </c>
      <c r="AH224" t="s">
        <v>140</v>
      </c>
      <c r="AI224" t="s">
        <v>140</v>
      </c>
      <c r="AJ224" t="s">
        <v>140</v>
      </c>
      <c r="AK224" t="s">
        <v>140</v>
      </c>
      <c r="AL224" t="s">
        <v>140</v>
      </c>
      <c r="AM224" t="s">
        <v>140</v>
      </c>
      <c r="AN224" t="s">
        <v>140</v>
      </c>
      <c r="AO224" t="s">
        <v>140</v>
      </c>
      <c r="AP224" t="s">
        <v>140</v>
      </c>
      <c r="AQ224" t="s">
        <v>140</v>
      </c>
      <c r="AR224" t="s">
        <v>140</v>
      </c>
      <c r="AS224" t="s">
        <v>140</v>
      </c>
      <c r="AT224" t="s">
        <v>140</v>
      </c>
      <c r="AU224" t="s">
        <v>140</v>
      </c>
      <c r="AV224" t="s">
        <v>140</v>
      </c>
      <c r="AW224" t="s">
        <v>140</v>
      </c>
      <c r="AX224" t="s">
        <v>140</v>
      </c>
      <c r="AY224" t="s">
        <v>140</v>
      </c>
      <c r="AZ224" t="s">
        <v>140</v>
      </c>
      <c r="BA224" t="s">
        <v>140</v>
      </c>
      <c r="BB224" t="s">
        <v>140</v>
      </c>
      <c r="BC224" t="s">
        <v>140</v>
      </c>
      <c r="BD224" t="s">
        <v>140</v>
      </c>
      <c r="BE224" t="s">
        <v>140</v>
      </c>
      <c r="BF224" t="s">
        <v>140</v>
      </c>
      <c r="BG224" t="s">
        <v>140</v>
      </c>
      <c r="BH224" t="s">
        <v>140</v>
      </c>
      <c r="BI224" t="s">
        <v>140</v>
      </c>
      <c r="BJ224" t="s">
        <v>140</v>
      </c>
      <c r="BK224" t="s">
        <v>140</v>
      </c>
      <c r="BL224" t="s">
        <v>140</v>
      </c>
      <c r="BM224" t="s">
        <v>140</v>
      </c>
      <c r="BN224" t="s">
        <v>140</v>
      </c>
      <c r="BO224" t="s">
        <v>140</v>
      </c>
      <c r="BP224" t="s">
        <v>140</v>
      </c>
      <c r="BQ224" t="s">
        <v>140</v>
      </c>
      <c r="BR224" t="s">
        <v>140</v>
      </c>
      <c r="BS224" t="s">
        <v>140</v>
      </c>
      <c r="BT224" t="s">
        <v>140</v>
      </c>
      <c r="BU224" t="s">
        <v>140</v>
      </c>
      <c r="BV224" t="s">
        <v>140</v>
      </c>
      <c r="BW224" t="s">
        <v>140</v>
      </c>
      <c r="BX224" t="s">
        <v>140</v>
      </c>
      <c r="BY224" t="s">
        <v>140</v>
      </c>
      <c r="BZ224" t="s">
        <v>140</v>
      </c>
      <c r="CA224" t="s">
        <v>140</v>
      </c>
      <c r="CB224" t="s">
        <v>140</v>
      </c>
      <c r="CC224" t="s">
        <v>140</v>
      </c>
      <c r="CD224" t="s">
        <v>140</v>
      </c>
      <c r="CE224" t="s">
        <v>140</v>
      </c>
      <c r="CF224" t="s">
        <v>140</v>
      </c>
      <c r="CG224" t="s">
        <v>140</v>
      </c>
      <c r="CH224" t="s">
        <v>140</v>
      </c>
      <c r="CI224" t="s">
        <v>140</v>
      </c>
      <c r="CJ224" t="s">
        <v>140</v>
      </c>
      <c r="CK224" t="s">
        <v>140</v>
      </c>
      <c r="CL224" t="s">
        <v>140</v>
      </c>
      <c r="CM224" t="s">
        <v>140</v>
      </c>
      <c r="CN224" t="s">
        <v>140</v>
      </c>
      <c r="CO224" t="s">
        <v>140</v>
      </c>
      <c r="CP224" t="s">
        <v>140</v>
      </c>
      <c r="CQ224" t="s">
        <v>140</v>
      </c>
      <c r="CR224" t="s">
        <v>140</v>
      </c>
      <c r="CS224" t="s">
        <v>140</v>
      </c>
      <c r="CT224" t="s">
        <v>140</v>
      </c>
      <c r="CU224" t="s">
        <v>140</v>
      </c>
      <c r="CV224" t="s">
        <v>140</v>
      </c>
      <c r="CW224" t="s">
        <v>140</v>
      </c>
      <c r="CX224" t="s">
        <v>140</v>
      </c>
      <c r="CY224" t="s">
        <v>140</v>
      </c>
      <c r="CZ224" t="s">
        <v>140</v>
      </c>
      <c r="DA224" t="s">
        <v>140</v>
      </c>
      <c r="DB224" t="s">
        <v>140</v>
      </c>
      <c r="DC224" s="1">
        <v>0</v>
      </c>
      <c r="DD224" s="1">
        <v>0</v>
      </c>
      <c r="DE224" s="1">
        <v>-2.08</v>
      </c>
      <c r="DF224" s="1">
        <v>-2.66</v>
      </c>
      <c r="DG224" s="1">
        <v>0</v>
      </c>
      <c r="DH224" s="1">
        <v>-2.4700000000000002</v>
      </c>
      <c r="DI224" s="1">
        <v>0</v>
      </c>
      <c r="DJ224" s="1">
        <v>-1.64</v>
      </c>
      <c r="DK224" s="1">
        <v>0</v>
      </c>
      <c r="DL224" s="1">
        <v>-2.14</v>
      </c>
      <c r="DM224" s="1">
        <v>0</v>
      </c>
      <c r="DN224" s="1">
        <v>-1.33</v>
      </c>
      <c r="DO224" s="1">
        <v>0</v>
      </c>
      <c r="DP224" s="1">
        <v>-1.94</v>
      </c>
      <c r="DQ224" s="1">
        <v>0</v>
      </c>
      <c r="DR224" s="1">
        <v>-1.52</v>
      </c>
      <c r="DS224" s="1">
        <v>0</v>
      </c>
      <c r="DT224" s="1">
        <v>-2.25</v>
      </c>
      <c r="DU224" s="1">
        <v>0</v>
      </c>
      <c r="DV224" s="1">
        <v>-2.27</v>
      </c>
      <c r="DW224" s="1">
        <v>0</v>
      </c>
      <c r="DX224" s="1">
        <v>-1.19</v>
      </c>
      <c r="DY224" s="1">
        <v>0</v>
      </c>
      <c r="DZ224" s="1">
        <v>-2.06</v>
      </c>
      <c r="EA224" s="1">
        <v>0</v>
      </c>
      <c r="EB224" s="1">
        <v>-2.2799999999999998</v>
      </c>
      <c r="EC224" s="1">
        <v>0</v>
      </c>
      <c r="ED224" s="1">
        <v>-2.4700000000000002</v>
      </c>
    </row>
    <row r="225" spans="1:134" x14ac:dyDescent="0.25">
      <c r="A225" t="s">
        <v>338</v>
      </c>
      <c r="B225" s="1">
        <v>1.1679999999999999</v>
      </c>
      <c r="C225" s="1">
        <v>1.071</v>
      </c>
      <c r="D225" s="1">
        <v>1.1619999999999999</v>
      </c>
      <c r="E225" s="1">
        <v>1.0669999999999999</v>
      </c>
      <c r="F225" s="1">
        <v>1.161</v>
      </c>
      <c r="G225" s="1">
        <v>1.075</v>
      </c>
      <c r="H225" s="1">
        <v>1.0109999999999999</v>
      </c>
      <c r="I225" s="1">
        <v>1.0980000000000001</v>
      </c>
      <c r="J225" s="1">
        <v>0.95499999999999996</v>
      </c>
      <c r="K225" s="1">
        <v>0.82299999999999995</v>
      </c>
      <c r="L225" s="1">
        <v>0.93799999999999994</v>
      </c>
      <c r="M225" s="1">
        <v>0.95899999999999996</v>
      </c>
      <c r="N225" t="s">
        <v>141</v>
      </c>
      <c r="O225" t="s">
        <v>140</v>
      </c>
      <c r="P225" t="s">
        <v>140</v>
      </c>
      <c r="Q225" t="s">
        <v>140</v>
      </c>
      <c r="R225" t="s">
        <v>140</v>
      </c>
      <c r="S225" t="s">
        <v>140</v>
      </c>
      <c r="T225" t="s">
        <v>140</v>
      </c>
      <c r="U225" t="s">
        <v>140</v>
      </c>
      <c r="V225" t="s">
        <v>140</v>
      </c>
      <c r="W225" t="s">
        <v>140</v>
      </c>
      <c r="X225" t="s">
        <v>140</v>
      </c>
      <c r="Y225" t="s">
        <v>140</v>
      </c>
      <c r="Z225" t="s">
        <v>140</v>
      </c>
      <c r="AA225" t="s">
        <v>140</v>
      </c>
      <c r="AB225" t="s">
        <v>140</v>
      </c>
      <c r="AC225" t="s">
        <v>140</v>
      </c>
      <c r="AD225" t="s">
        <v>140</v>
      </c>
      <c r="AE225" t="s">
        <v>140</v>
      </c>
      <c r="AF225" t="s">
        <v>140</v>
      </c>
      <c r="AG225" t="s">
        <v>140</v>
      </c>
      <c r="AH225" t="s">
        <v>140</v>
      </c>
      <c r="AI225" t="s">
        <v>140</v>
      </c>
      <c r="AJ225" t="s">
        <v>140</v>
      </c>
      <c r="AK225" t="s">
        <v>140</v>
      </c>
      <c r="AL225" t="s">
        <v>140</v>
      </c>
      <c r="AM225" t="s">
        <v>140</v>
      </c>
      <c r="AN225" t="s">
        <v>140</v>
      </c>
      <c r="AO225" t="s">
        <v>140</v>
      </c>
      <c r="AP225" t="s">
        <v>140</v>
      </c>
      <c r="AQ225" t="s">
        <v>140</v>
      </c>
      <c r="AR225" t="s">
        <v>140</v>
      </c>
      <c r="AS225" t="s">
        <v>140</v>
      </c>
      <c r="AT225" t="s">
        <v>140</v>
      </c>
      <c r="AU225" t="s">
        <v>140</v>
      </c>
      <c r="AV225" t="s">
        <v>140</v>
      </c>
      <c r="AW225" t="s">
        <v>140</v>
      </c>
      <c r="AX225" t="s">
        <v>140</v>
      </c>
      <c r="AY225" t="s">
        <v>140</v>
      </c>
      <c r="AZ225" t="s">
        <v>140</v>
      </c>
      <c r="BA225" t="s">
        <v>140</v>
      </c>
      <c r="BB225" t="s">
        <v>140</v>
      </c>
      <c r="BC225" t="s">
        <v>140</v>
      </c>
      <c r="BD225" t="s">
        <v>140</v>
      </c>
      <c r="BE225" t="s">
        <v>140</v>
      </c>
      <c r="BF225" t="s">
        <v>140</v>
      </c>
      <c r="BG225" t="s">
        <v>140</v>
      </c>
      <c r="BH225" t="s">
        <v>140</v>
      </c>
      <c r="BI225" t="s">
        <v>140</v>
      </c>
      <c r="BJ225" t="s">
        <v>140</v>
      </c>
      <c r="BK225" t="s">
        <v>140</v>
      </c>
      <c r="BL225" t="s">
        <v>140</v>
      </c>
      <c r="BM225" t="s">
        <v>140</v>
      </c>
      <c r="BN225" t="s">
        <v>140</v>
      </c>
      <c r="BO225" t="s">
        <v>140</v>
      </c>
      <c r="BP225" t="s">
        <v>140</v>
      </c>
      <c r="BQ225" t="s">
        <v>140</v>
      </c>
      <c r="BR225" t="s">
        <v>140</v>
      </c>
      <c r="BS225" t="s">
        <v>140</v>
      </c>
      <c r="BT225" t="s">
        <v>140</v>
      </c>
      <c r="BU225" t="s">
        <v>140</v>
      </c>
      <c r="BV225" t="s">
        <v>140</v>
      </c>
      <c r="BW225" t="s">
        <v>140</v>
      </c>
      <c r="BX225" t="s">
        <v>140</v>
      </c>
      <c r="BY225" t="s">
        <v>140</v>
      </c>
      <c r="BZ225" t="s">
        <v>140</v>
      </c>
      <c r="CA225" t="s">
        <v>140</v>
      </c>
      <c r="CB225" t="s">
        <v>140</v>
      </c>
      <c r="CC225" t="s">
        <v>140</v>
      </c>
      <c r="CD225" t="s">
        <v>140</v>
      </c>
      <c r="CE225" t="s">
        <v>140</v>
      </c>
      <c r="CF225" t="s">
        <v>140</v>
      </c>
      <c r="CG225" t="s">
        <v>140</v>
      </c>
      <c r="CH225" t="s">
        <v>140</v>
      </c>
      <c r="CI225" t="s">
        <v>140</v>
      </c>
      <c r="CJ225" t="s">
        <v>140</v>
      </c>
      <c r="CK225" t="s">
        <v>140</v>
      </c>
      <c r="CL225" t="s">
        <v>140</v>
      </c>
      <c r="CM225" t="s">
        <v>140</v>
      </c>
      <c r="CN225" t="s">
        <v>140</v>
      </c>
      <c r="CO225" t="s">
        <v>140</v>
      </c>
      <c r="CP225" t="s">
        <v>140</v>
      </c>
      <c r="CQ225" t="s">
        <v>140</v>
      </c>
      <c r="CR225" t="s">
        <v>140</v>
      </c>
      <c r="CS225" t="s">
        <v>140</v>
      </c>
      <c r="CT225" t="s">
        <v>140</v>
      </c>
      <c r="CU225" t="s">
        <v>140</v>
      </c>
      <c r="CV225" t="s">
        <v>140</v>
      </c>
      <c r="CW225" t="s">
        <v>140</v>
      </c>
      <c r="CX225" t="s">
        <v>140</v>
      </c>
      <c r="CY225" t="s">
        <v>140</v>
      </c>
      <c r="CZ225" t="s">
        <v>140</v>
      </c>
      <c r="DA225" t="s">
        <v>140</v>
      </c>
      <c r="DB225" t="s">
        <v>140</v>
      </c>
      <c r="DC225" s="1">
        <v>0.86299999999999999</v>
      </c>
      <c r="DD225" s="1">
        <v>0.92</v>
      </c>
      <c r="DE225" s="1">
        <v>0.91200000000000003</v>
      </c>
      <c r="DF225" s="1">
        <v>0.79500000000000004</v>
      </c>
      <c r="DG225" s="1">
        <v>0</v>
      </c>
      <c r="DH225" s="1">
        <v>0</v>
      </c>
      <c r="DI225" s="1">
        <v>0.93</v>
      </c>
      <c r="DJ225" s="1">
        <v>1.0309999999999999</v>
      </c>
      <c r="DK225" s="1">
        <v>1.0069999999999999</v>
      </c>
      <c r="DL225" s="1">
        <v>0.98199999999999998</v>
      </c>
      <c r="DM225" s="1">
        <v>1.0189999999999999</v>
      </c>
      <c r="DN225" s="1">
        <v>1.052</v>
      </c>
      <c r="DO225" s="1">
        <v>0.98</v>
      </c>
      <c r="DP225" s="1">
        <v>1.0169999999999999</v>
      </c>
      <c r="DQ225" s="1">
        <v>1.069</v>
      </c>
      <c r="DR225" s="1">
        <v>1.014</v>
      </c>
      <c r="DS225" s="1">
        <v>1.036</v>
      </c>
      <c r="DT225" s="1">
        <v>0.97799999999999998</v>
      </c>
      <c r="DU225" s="1">
        <v>0.97399999999999998</v>
      </c>
      <c r="DV225" s="1">
        <v>0.97599999999999998</v>
      </c>
      <c r="DW225" s="1">
        <v>1.0269999999999999</v>
      </c>
      <c r="DX225" s="1">
        <v>1.0069999999999999</v>
      </c>
      <c r="DY225" s="1">
        <v>0.92100000000000004</v>
      </c>
      <c r="DZ225" s="1">
        <v>0.96</v>
      </c>
      <c r="EA225" s="1">
        <v>0.93400000000000005</v>
      </c>
      <c r="EB225" s="1">
        <v>0.80600000000000005</v>
      </c>
      <c r="EC225" s="1">
        <v>0.90700000000000003</v>
      </c>
      <c r="ED225" s="1">
        <v>0.95899999999999996</v>
      </c>
    </row>
    <row r="226" spans="1:134" x14ac:dyDescent="0.25">
      <c r="A226" t="s">
        <v>339</v>
      </c>
      <c r="B226" s="1">
        <v>18.27</v>
      </c>
      <c r="C226" s="1">
        <v>12.43</v>
      </c>
      <c r="D226" s="1">
        <v>17.760000000000002</v>
      </c>
      <c r="E226" s="1">
        <v>12.68</v>
      </c>
      <c r="F226" s="1">
        <v>18.850000000000001</v>
      </c>
      <c r="G226" s="1">
        <v>12.34</v>
      </c>
      <c r="H226" s="1">
        <v>6.37</v>
      </c>
      <c r="I226" s="1">
        <v>15.34</v>
      </c>
      <c r="J226" s="1">
        <v>3.35</v>
      </c>
      <c r="K226" s="1">
        <v>-11.16</v>
      </c>
      <c r="L226" s="1">
        <v>2.2200000000000002</v>
      </c>
      <c r="M226" s="1">
        <v>2.2200000000000002</v>
      </c>
      <c r="N226" t="s">
        <v>141</v>
      </c>
      <c r="O226" t="s">
        <v>140</v>
      </c>
      <c r="P226" t="s">
        <v>140</v>
      </c>
      <c r="Q226" t="s">
        <v>140</v>
      </c>
      <c r="R226" t="s">
        <v>140</v>
      </c>
      <c r="S226" t="s">
        <v>140</v>
      </c>
      <c r="T226" t="s">
        <v>140</v>
      </c>
      <c r="U226" t="s">
        <v>140</v>
      </c>
      <c r="V226" t="s">
        <v>140</v>
      </c>
      <c r="W226" t="s">
        <v>140</v>
      </c>
      <c r="X226" t="s">
        <v>140</v>
      </c>
      <c r="Y226" t="s">
        <v>140</v>
      </c>
      <c r="Z226" t="s">
        <v>140</v>
      </c>
      <c r="AA226" t="s">
        <v>140</v>
      </c>
      <c r="AB226" t="s">
        <v>140</v>
      </c>
      <c r="AC226" t="s">
        <v>140</v>
      </c>
      <c r="AD226" t="s">
        <v>140</v>
      </c>
      <c r="AE226" t="s">
        <v>140</v>
      </c>
      <c r="AF226" t="s">
        <v>140</v>
      </c>
      <c r="AG226" t="s">
        <v>140</v>
      </c>
      <c r="AH226" t="s">
        <v>140</v>
      </c>
      <c r="AI226" t="s">
        <v>140</v>
      </c>
      <c r="AJ226" t="s">
        <v>140</v>
      </c>
      <c r="AK226" t="s">
        <v>140</v>
      </c>
      <c r="AL226" t="s">
        <v>140</v>
      </c>
      <c r="AM226" t="s">
        <v>140</v>
      </c>
      <c r="AN226" t="s">
        <v>140</v>
      </c>
      <c r="AO226" t="s">
        <v>140</v>
      </c>
      <c r="AP226" t="s">
        <v>140</v>
      </c>
      <c r="AQ226" t="s">
        <v>140</v>
      </c>
      <c r="AR226" t="s">
        <v>140</v>
      </c>
      <c r="AS226" t="s">
        <v>140</v>
      </c>
      <c r="AT226" t="s">
        <v>140</v>
      </c>
      <c r="AU226" t="s">
        <v>140</v>
      </c>
      <c r="AV226" t="s">
        <v>140</v>
      </c>
      <c r="AW226" t="s">
        <v>140</v>
      </c>
      <c r="AX226" t="s">
        <v>140</v>
      </c>
      <c r="AY226" t="s">
        <v>140</v>
      </c>
      <c r="AZ226" t="s">
        <v>140</v>
      </c>
      <c r="BA226" t="s">
        <v>140</v>
      </c>
      <c r="BB226" t="s">
        <v>140</v>
      </c>
      <c r="BC226" t="s">
        <v>140</v>
      </c>
      <c r="BD226" t="s">
        <v>140</v>
      </c>
      <c r="BE226" t="s">
        <v>140</v>
      </c>
      <c r="BF226" t="s">
        <v>140</v>
      </c>
      <c r="BG226" t="s">
        <v>140</v>
      </c>
      <c r="BH226" t="s">
        <v>140</v>
      </c>
      <c r="BI226" t="s">
        <v>140</v>
      </c>
      <c r="BJ226" t="s">
        <v>140</v>
      </c>
      <c r="BK226" t="s">
        <v>140</v>
      </c>
      <c r="BL226" t="s">
        <v>140</v>
      </c>
      <c r="BM226" t="s">
        <v>140</v>
      </c>
      <c r="BN226" t="s">
        <v>140</v>
      </c>
      <c r="BO226" t="s">
        <v>140</v>
      </c>
      <c r="BP226" t="s">
        <v>140</v>
      </c>
      <c r="BQ226" t="s">
        <v>140</v>
      </c>
      <c r="BR226" t="s">
        <v>140</v>
      </c>
      <c r="BS226" t="s">
        <v>140</v>
      </c>
      <c r="BT226" t="s">
        <v>140</v>
      </c>
      <c r="BU226" t="s">
        <v>140</v>
      </c>
      <c r="BV226" t="s">
        <v>140</v>
      </c>
      <c r="BW226" t="s">
        <v>140</v>
      </c>
      <c r="BX226" t="s">
        <v>140</v>
      </c>
      <c r="BY226" t="s">
        <v>140</v>
      </c>
      <c r="BZ226" t="s">
        <v>140</v>
      </c>
      <c r="CA226" t="s">
        <v>140</v>
      </c>
      <c r="CB226" t="s">
        <v>140</v>
      </c>
      <c r="CC226" t="s">
        <v>140</v>
      </c>
      <c r="CD226" t="s">
        <v>140</v>
      </c>
      <c r="CE226" t="s">
        <v>140</v>
      </c>
      <c r="CF226" t="s">
        <v>140</v>
      </c>
      <c r="CG226" t="s">
        <v>140</v>
      </c>
      <c r="CH226" t="s">
        <v>140</v>
      </c>
      <c r="CI226" t="s">
        <v>140</v>
      </c>
      <c r="CJ226" t="s">
        <v>140</v>
      </c>
      <c r="CK226" t="s">
        <v>140</v>
      </c>
      <c r="CL226" t="s">
        <v>140</v>
      </c>
      <c r="CM226" t="s">
        <v>140</v>
      </c>
      <c r="CN226" t="s">
        <v>140</v>
      </c>
      <c r="CO226" t="s">
        <v>140</v>
      </c>
      <c r="CP226" t="s">
        <v>140</v>
      </c>
      <c r="CQ226" t="s">
        <v>140</v>
      </c>
      <c r="CR226" t="s">
        <v>140</v>
      </c>
      <c r="CS226" t="s">
        <v>140</v>
      </c>
      <c r="CT226" t="s">
        <v>140</v>
      </c>
      <c r="CU226" t="s">
        <v>140</v>
      </c>
      <c r="CV226" t="s">
        <v>140</v>
      </c>
      <c r="CW226" t="s">
        <v>140</v>
      </c>
      <c r="CX226" t="s">
        <v>140</v>
      </c>
      <c r="CY226" t="s">
        <v>140</v>
      </c>
      <c r="CZ226" t="s">
        <v>140</v>
      </c>
      <c r="DA226" t="s">
        <v>140</v>
      </c>
      <c r="DB226" t="s">
        <v>140</v>
      </c>
      <c r="DC226" s="1">
        <v>0</v>
      </c>
      <c r="DD226" s="1">
        <v>0</v>
      </c>
      <c r="DE226" s="1">
        <v>0</v>
      </c>
      <c r="DF226" s="1">
        <v>0</v>
      </c>
      <c r="DG226" s="1">
        <v>0</v>
      </c>
      <c r="DH226" s="1">
        <v>16.760000000000002</v>
      </c>
      <c r="DI226" s="1">
        <v>14.41</v>
      </c>
      <c r="DJ226" s="1">
        <v>18.27</v>
      </c>
      <c r="DK226" s="1">
        <v>20.04</v>
      </c>
      <c r="DL226" s="1">
        <v>12.43</v>
      </c>
      <c r="DM226" s="1">
        <v>14.01</v>
      </c>
      <c r="DN226" s="1">
        <v>17.760000000000002</v>
      </c>
      <c r="DO226" s="1">
        <v>15.41</v>
      </c>
      <c r="DP226" s="1">
        <v>12.68</v>
      </c>
      <c r="DQ226" s="1">
        <v>17.399999999999999</v>
      </c>
      <c r="DR226" s="1">
        <v>18.850000000000001</v>
      </c>
      <c r="DS226" s="1">
        <v>17.190000000000001</v>
      </c>
      <c r="DT226" s="1">
        <v>12.34</v>
      </c>
      <c r="DU226" s="1">
        <v>6.37</v>
      </c>
      <c r="DV226" s="1">
        <v>6.37</v>
      </c>
      <c r="DW226" s="1">
        <v>10.58</v>
      </c>
      <c r="DX226" s="1">
        <v>15.34</v>
      </c>
      <c r="DY226" s="1">
        <v>9.68</v>
      </c>
      <c r="DZ226" s="1">
        <v>3.35</v>
      </c>
      <c r="EA226" s="1">
        <v>5.03</v>
      </c>
      <c r="EB226" s="1">
        <v>-11.16</v>
      </c>
      <c r="EC226" s="1">
        <v>-14.36</v>
      </c>
      <c r="ED226" s="1">
        <v>2.2200000000000002</v>
      </c>
    </row>
    <row r="227" spans="1:134" x14ac:dyDescent="0.25">
      <c r="A227" t="s">
        <v>340</v>
      </c>
      <c r="B227" s="1">
        <v>0.23</v>
      </c>
      <c r="C227" s="1">
        <v>0.87</v>
      </c>
      <c r="D227" s="1">
        <v>0.83</v>
      </c>
      <c r="E227" s="1">
        <v>0.56000000000000005</v>
      </c>
      <c r="F227" s="1">
        <v>0.78</v>
      </c>
      <c r="G227" s="1">
        <v>0.92</v>
      </c>
      <c r="H227" s="1">
        <v>0.31</v>
      </c>
      <c r="I227" s="1">
        <v>1.73</v>
      </c>
      <c r="J227" s="1">
        <v>3.03</v>
      </c>
      <c r="K227" s="1">
        <v>1.35</v>
      </c>
      <c r="L227" s="1">
        <v>0.97</v>
      </c>
      <c r="M227" s="1">
        <v>0.97</v>
      </c>
      <c r="N227" t="s">
        <v>141</v>
      </c>
      <c r="O227" t="s">
        <v>140</v>
      </c>
      <c r="P227" t="s">
        <v>140</v>
      </c>
      <c r="Q227" t="s">
        <v>140</v>
      </c>
      <c r="R227" t="s">
        <v>140</v>
      </c>
      <c r="S227" t="s">
        <v>140</v>
      </c>
      <c r="T227" t="s">
        <v>140</v>
      </c>
      <c r="U227" t="s">
        <v>140</v>
      </c>
      <c r="V227" t="s">
        <v>140</v>
      </c>
      <c r="W227" t="s">
        <v>140</v>
      </c>
      <c r="X227" t="s">
        <v>140</v>
      </c>
      <c r="Y227" t="s">
        <v>140</v>
      </c>
      <c r="Z227" t="s">
        <v>140</v>
      </c>
      <c r="AA227" t="s">
        <v>140</v>
      </c>
      <c r="AB227" t="s">
        <v>140</v>
      </c>
      <c r="AC227" t="s">
        <v>140</v>
      </c>
      <c r="AD227" t="s">
        <v>140</v>
      </c>
      <c r="AE227" t="s">
        <v>140</v>
      </c>
      <c r="AF227" t="s">
        <v>140</v>
      </c>
      <c r="AG227" t="s">
        <v>140</v>
      </c>
      <c r="AH227" t="s">
        <v>140</v>
      </c>
      <c r="AI227" t="s">
        <v>140</v>
      </c>
      <c r="AJ227" t="s">
        <v>140</v>
      </c>
      <c r="AK227" t="s">
        <v>140</v>
      </c>
      <c r="AL227" t="s">
        <v>140</v>
      </c>
      <c r="AM227" t="s">
        <v>140</v>
      </c>
      <c r="AN227" t="s">
        <v>140</v>
      </c>
      <c r="AO227" t="s">
        <v>140</v>
      </c>
      <c r="AP227" t="s">
        <v>140</v>
      </c>
      <c r="AQ227" t="s">
        <v>140</v>
      </c>
      <c r="AR227" t="s">
        <v>140</v>
      </c>
      <c r="AS227" t="s">
        <v>140</v>
      </c>
      <c r="AT227" t="s">
        <v>140</v>
      </c>
      <c r="AU227" t="s">
        <v>140</v>
      </c>
      <c r="AV227" t="s">
        <v>140</v>
      </c>
      <c r="AW227" t="s">
        <v>140</v>
      </c>
      <c r="AX227" t="s">
        <v>140</v>
      </c>
      <c r="AY227" t="s">
        <v>140</v>
      </c>
      <c r="AZ227" t="s">
        <v>140</v>
      </c>
      <c r="BA227" t="s">
        <v>140</v>
      </c>
      <c r="BB227" t="s">
        <v>140</v>
      </c>
      <c r="BC227" t="s">
        <v>140</v>
      </c>
      <c r="BD227" t="s">
        <v>140</v>
      </c>
      <c r="BE227" t="s">
        <v>140</v>
      </c>
      <c r="BF227" t="s">
        <v>140</v>
      </c>
      <c r="BG227" t="s">
        <v>140</v>
      </c>
      <c r="BH227" t="s">
        <v>140</v>
      </c>
      <c r="BI227" t="s">
        <v>140</v>
      </c>
      <c r="BJ227" t="s">
        <v>140</v>
      </c>
      <c r="BK227" t="s">
        <v>140</v>
      </c>
      <c r="BL227" t="s">
        <v>140</v>
      </c>
      <c r="BM227" t="s">
        <v>140</v>
      </c>
      <c r="BN227" t="s">
        <v>140</v>
      </c>
      <c r="BO227" t="s">
        <v>140</v>
      </c>
      <c r="BP227" t="s">
        <v>140</v>
      </c>
      <c r="BQ227" t="s">
        <v>140</v>
      </c>
      <c r="BR227" t="s">
        <v>140</v>
      </c>
      <c r="BS227" t="s">
        <v>140</v>
      </c>
      <c r="BT227" t="s">
        <v>140</v>
      </c>
      <c r="BU227" t="s">
        <v>140</v>
      </c>
      <c r="BV227" t="s">
        <v>140</v>
      </c>
      <c r="BW227" t="s">
        <v>140</v>
      </c>
      <c r="BX227" t="s">
        <v>140</v>
      </c>
      <c r="BY227" t="s">
        <v>140</v>
      </c>
      <c r="BZ227" t="s">
        <v>140</v>
      </c>
      <c r="CA227" t="s">
        <v>140</v>
      </c>
      <c r="CB227" t="s">
        <v>140</v>
      </c>
      <c r="CC227" t="s">
        <v>140</v>
      </c>
      <c r="CD227" t="s">
        <v>140</v>
      </c>
      <c r="CE227" t="s">
        <v>140</v>
      </c>
      <c r="CF227" t="s">
        <v>140</v>
      </c>
      <c r="CG227" t="s">
        <v>140</v>
      </c>
      <c r="CH227" t="s">
        <v>140</v>
      </c>
      <c r="CI227" t="s">
        <v>140</v>
      </c>
      <c r="CJ227" t="s">
        <v>140</v>
      </c>
      <c r="CK227" t="s">
        <v>140</v>
      </c>
      <c r="CL227" t="s">
        <v>140</v>
      </c>
      <c r="CM227" t="s">
        <v>140</v>
      </c>
      <c r="CN227" t="s">
        <v>140</v>
      </c>
      <c r="CO227" t="s">
        <v>140</v>
      </c>
      <c r="CP227" t="s">
        <v>140</v>
      </c>
      <c r="CQ227" t="s">
        <v>140</v>
      </c>
      <c r="CR227" t="s">
        <v>140</v>
      </c>
      <c r="CS227" t="s">
        <v>140</v>
      </c>
      <c r="CT227" t="s">
        <v>140</v>
      </c>
      <c r="CU227" t="s">
        <v>140</v>
      </c>
      <c r="CV227" t="s">
        <v>140</v>
      </c>
      <c r="CW227" t="s">
        <v>140</v>
      </c>
      <c r="CX227" t="s">
        <v>140</v>
      </c>
      <c r="CY227" t="s">
        <v>140</v>
      </c>
      <c r="CZ227" t="s">
        <v>140</v>
      </c>
      <c r="DA227" t="s">
        <v>140</v>
      </c>
      <c r="DB227" t="s">
        <v>140</v>
      </c>
      <c r="DC227" s="1">
        <v>7.0000000000000007E-2</v>
      </c>
      <c r="DD227" s="1">
        <v>1.55</v>
      </c>
      <c r="DE227" s="1">
        <v>0.57999999999999996</v>
      </c>
      <c r="DF227" s="1">
        <v>0.81</v>
      </c>
      <c r="DG227" s="1">
        <v>0</v>
      </c>
      <c r="DH227" s="1">
        <v>0.6</v>
      </c>
      <c r="DI227" s="1">
        <v>0.52</v>
      </c>
      <c r="DJ227" s="1">
        <v>0.23</v>
      </c>
      <c r="DK227" s="1">
        <v>0.6</v>
      </c>
      <c r="DL227" s="1">
        <v>0.87</v>
      </c>
      <c r="DM227" s="1">
        <v>0.74</v>
      </c>
      <c r="DN227" s="1">
        <v>0.83</v>
      </c>
      <c r="DO227" s="1">
        <v>0.63</v>
      </c>
      <c r="DP227" s="1">
        <v>0.56000000000000005</v>
      </c>
      <c r="DQ227" s="1">
        <v>1.1200000000000001</v>
      </c>
      <c r="DR227" s="1">
        <v>0.78</v>
      </c>
      <c r="DS227" s="1">
        <v>0.38</v>
      </c>
      <c r="DT227" s="1">
        <v>0.92</v>
      </c>
      <c r="DU227" s="1">
        <v>0.22</v>
      </c>
      <c r="DV227" s="1">
        <v>0.31</v>
      </c>
      <c r="DW227" s="1">
        <v>0.19</v>
      </c>
      <c r="DX227" s="1">
        <v>1.73</v>
      </c>
      <c r="DY227" s="1">
        <v>0.62</v>
      </c>
      <c r="DZ227" s="1">
        <v>3.03</v>
      </c>
      <c r="EA227" s="1">
        <v>0.86</v>
      </c>
      <c r="EB227" s="1">
        <v>1.35</v>
      </c>
      <c r="EC227" s="1">
        <v>0.45</v>
      </c>
      <c r="ED227" s="1">
        <v>0.97</v>
      </c>
    </row>
    <row r="228" spans="1:134" ht="12" customHeight="1" x14ac:dyDescent="0.25">
      <c r="A228" t="s">
        <v>341</v>
      </c>
      <c r="B228" s="1">
        <v>0.23</v>
      </c>
      <c r="C228" s="1">
        <v>0.87</v>
      </c>
      <c r="D228" s="1">
        <v>0.83</v>
      </c>
      <c r="E228" s="1">
        <v>0.56000000000000005</v>
      </c>
      <c r="F228" s="1">
        <v>0.78</v>
      </c>
      <c r="G228" s="1">
        <v>0.22</v>
      </c>
      <c r="H228" s="1">
        <v>0.31</v>
      </c>
      <c r="I228" s="1">
        <v>1.73</v>
      </c>
      <c r="J228" s="1">
        <v>3.03</v>
      </c>
      <c r="K228" s="1">
        <v>1.35</v>
      </c>
      <c r="L228" s="1">
        <v>0.97</v>
      </c>
      <c r="M228" s="1">
        <v>0.97</v>
      </c>
      <c r="N228" t="s">
        <v>141</v>
      </c>
      <c r="O228" t="s">
        <v>140</v>
      </c>
      <c r="P228" t="s">
        <v>140</v>
      </c>
      <c r="Q228" t="s">
        <v>140</v>
      </c>
      <c r="R228" t="s">
        <v>140</v>
      </c>
      <c r="S228" t="s">
        <v>140</v>
      </c>
      <c r="T228" t="s">
        <v>140</v>
      </c>
      <c r="U228" t="s">
        <v>140</v>
      </c>
      <c r="V228" t="s">
        <v>140</v>
      </c>
      <c r="W228" t="s">
        <v>140</v>
      </c>
      <c r="X228" t="s">
        <v>140</v>
      </c>
      <c r="Y228" t="s">
        <v>140</v>
      </c>
      <c r="Z228" t="s">
        <v>140</v>
      </c>
      <c r="AA228" t="s">
        <v>140</v>
      </c>
      <c r="AB228" t="s">
        <v>140</v>
      </c>
      <c r="AC228" t="s">
        <v>140</v>
      </c>
      <c r="AD228" t="s">
        <v>140</v>
      </c>
      <c r="AE228" t="s">
        <v>140</v>
      </c>
      <c r="AF228" t="s">
        <v>140</v>
      </c>
      <c r="AG228" t="s">
        <v>140</v>
      </c>
      <c r="AH228" t="s">
        <v>140</v>
      </c>
      <c r="AI228" t="s">
        <v>140</v>
      </c>
      <c r="AJ228" t="s">
        <v>140</v>
      </c>
      <c r="AK228" t="s">
        <v>140</v>
      </c>
      <c r="AL228" t="s">
        <v>140</v>
      </c>
      <c r="AM228" t="s">
        <v>140</v>
      </c>
      <c r="AN228" t="s">
        <v>140</v>
      </c>
      <c r="AO228" t="s">
        <v>140</v>
      </c>
      <c r="AP228" t="s">
        <v>140</v>
      </c>
      <c r="AQ228" t="s">
        <v>140</v>
      </c>
      <c r="AR228" t="s">
        <v>140</v>
      </c>
      <c r="AS228" t="s">
        <v>140</v>
      </c>
      <c r="AT228" t="s">
        <v>140</v>
      </c>
      <c r="AU228" t="s">
        <v>140</v>
      </c>
      <c r="AV228" t="s">
        <v>140</v>
      </c>
      <c r="AW228" t="s">
        <v>140</v>
      </c>
      <c r="AX228" t="s">
        <v>140</v>
      </c>
      <c r="AY228" t="s">
        <v>140</v>
      </c>
      <c r="AZ228" t="s">
        <v>140</v>
      </c>
      <c r="BA228" t="s">
        <v>140</v>
      </c>
      <c r="BB228" t="s">
        <v>140</v>
      </c>
      <c r="BC228" t="s">
        <v>140</v>
      </c>
      <c r="BD228" t="s">
        <v>140</v>
      </c>
      <c r="BE228" t="s">
        <v>140</v>
      </c>
      <c r="BF228" t="s">
        <v>140</v>
      </c>
      <c r="BG228" t="s">
        <v>140</v>
      </c>
      <c r="BH228" t="s">
        <v>140</v>
      </c>
      <c r="BI228" t="s">
        <v>140</v>
      </c>
      <c r="BJ228" t="s">
        <v>140</v>
      </c>
      <c r="BK228" t="s">
        <v>140</v>
      </c>
      <c r="BL228" t="s">
        <v>140</v>
      </c>
      <c r="BM228" t="s">
        <v>140</v>
      </c>
      <c r="BN228" t="s">
        <v>140</v>
      </c>
      <c r="BO228" t="s">
        <v>140</v>
      </c>
      <c r="BP228" t="s">
        <v>140</v>
      </c>
      <c r="BQ228" t="s">
        <v>140</v>
      </c>
      <c r="BR228" t="s">
        <v>140</v>
      </c>
      <c r="BS228" t="s">
        <v>140</v>
      </c>
      <c r="BT228" t="s">
        <v>140</v>
      </c>
      <c r="BU228" t="s">
        <v>140</v>
      </c>
      <c r="BV228" t="s">
        <v>140</v>
      </c>
      <c r="BW228" t="s">
        <v>140</v>
      </c>
      <c r="BX228" t="s">
        <v>140</v>
      </c>
      <c r="BY228" t="s">
        <v>140</v>
      </c>
      <c r="BZ228" t="s">
        <v>140</v>
      </c>
      <c r="CA228" t="s">
        <v>140</v>
      </c>
      <c r="CB228" t="s">
        <v>140</v>
      </c>
      <c r="CC228" t="s">
        <v>140</v>
      </c>
      <c r="CD228" t="s">
        <v>140</v>
      </c>
      <c r="CE228" t="s">
        <v>140</v>
      </c>
      <c r="CF228" t="s">
        <v>140</v>
      </c>
      <c r="CG228" t="s">
        <v>140</v>
      </c>
      <c r="CH228" t="s">
        <v>140</v>
      </c>
      <c r="CI228" t="s">
        <v>140</v>
      </c>
      <c r="CJ228" t="s">
        <v>140</v>
      </c>
      <c r="CK228" t="s">
        <v>140</v>
      </c>
      <c r="CL228" t="s">
        <v>140</v>
      </c>
      <c r="CM228" t="s">
        <v>140</v>
      </c>
      <c r="CN228" t="s">
        <v>140</v>
      </c>
      <c r="CO228" t="s">
        <v>140</v>
      </c>
      <c r="CP228" t="s">
        <v>140</v>
      </c>
      <c r="CQ228" t="s">
        <v>140</v>
      </c>
      <c r="CR228" t="s">
        <v>140</v>
      </c>
      <c r="CS228" t="s">
        <v>140</v>
      </c>
      <c r="CT228" t="s">
        <v>140</v>
      </c>
      <c r="CU228" t="s">
        <v>140</v>
      </c>
      <c r="CV228" t="s">
        <v>140</v>
      </c>
      <c r="CW228" t="s">
        <v>140</v>
      </c>
      <c r="CX228" t="s">
        <v>140</v>
      </c>
      <c r="CY228" t="s">
        <v>140</v>
      </c>
      <c r="CZ228" t="s">
        <v>140</v>
      </c>
      <c r="DA228" t="s">
        <v>140</v>
      </c>
      <c r="DB228" t="s">
        <v>140</v>
      </c>
      <c r="DC228" s="1">
        <v>7.0000000000000007E-2</v>
      </c>
      <c r="DD228" s="1">
        <v>1.55</v>
      </c>
      <c r="DE228" s="1">
        <v>0.57999999999999996</v>
      </c>
      <c r="DF228" s="1">
        <v>0.81</v>
      </c>
      <c r="DG228" s="1">
        <v>0</v>
      </c>
      <c r="DH228" s="1">
        <v>0.6</v>
      </c>
      <c r="DI228" s="1">
        <v>0.52</v>
      </c>
      <c r="DJ228" s="1">
        <v>0.23</v>
      </c>
      <c r="DK228" s="1">
        <v>0.6</v>
      </c>
      <c r="DL228" s="1">
        <v>0.87</v>
      </c>
      <c r="DM228" s="1">
        <v>0.74</v>
      </c>
      <c r="DN228" s="1">
        <v>0.83</v>
      </c>
      <c r="DO228" s="1">
        <v>0.63</v>
      </c>
      <c r="DP228" s="1">
        <v>0.56000000000000005</v>
      </c>
      <c r="DQ228" s="1">
        <v>0.79</v>
      </c>
      <c r="DR228" s="1">
        <v>0.78</v>
      </c>
      <c r="DS228" s="1">
        <v>0.16</v>
      </c>
      <c r="DT228" s="1">
        <v>0.22</v>
      </c>
      <c r="DU228" s="1">
        <v>0.22</v>
      </c>
      <c r="DV228" s="1">
        <v>0.31</v>
      </c>
      <c r="DW228" s="1">
        <v>0.19</v>
      </c>
      <c r="DX228" s="1">
        <v>1.73</v>
      </c>
      <c r="DY228" s="1">
        <v>0.62</v>
      </c>
      <c r="DZ228" s="1">
        <v>3.03</v>
      </c>
      <c r="EA228" s="1">
        <v>0.86</v>
      </c>
      <c r="EB228" s="1">
        <v>1.35</v>
      </c>
      <c r="EC228" s="1">
        <v>0.45</v>
      </c>
      <c r="ED228" s="1">
        <v>0.97</v>
      </c>
    </row>
    <row r="229" spans="1:134" x14ac:dyDescent="0.25">
      <c r="A229" t="s">
        <v>342</v>
      </c>
      <c r="B229" s="1">
        <v>0.19</v>
      </c>
      <c r="C229" s="1">
        <v>0.76</v>
      </c>
      <c r="D229" s="1">
        <v>0.75</v>
      </c>
      <c r="E229" s="1">
        <v>0.51</v>
      </c>
      <c r="F229" s="1">
        <v>0.71</v>
      </c>
      <c r="G229" s="1">
        <v>0.1</v>
      </c>
      <c r="H229" s="1">
        <v>0.17</v>
      </c>
      <c r="I229" s="1">
        <v>1.62</v>
      </c>
      <c r="J229" s="1">
        <v>2.63</v>
      </c>
      <c r="K229" s="1">
        <v>1.1100000000000001</v>
      </c>
      <c r="L229" s="1">
        <v>0.4</v>
      </c>
      <c r="M229" s="1">
        <v>0.4</v>
      </c>
      <c r="N229" t="s">
        <v>141</v>
      </c>
      <c r="O229" t="s">
        <v>140</v>
      </c>
      <c r="P229" t="s">
        <v>140</v>
      </c>
      <c r="Q229" t="s">
        <v>140</v>
      </c>
      <c r="R229" t="s">
        <v>140</v>
      </c>
      <c r="S229" t="s">
        <v>140</v>
      </c>
      <c r="T229" t="s">
        <v>140</v>
      </c>
      <c r="U229" t="s">
        <v>140</v>
      </c>
      <c r="V229" t="s">
        <v>140</v>
      </c>
      <c r="W229" t="s">
        <v>140</v>
      </c>
      <c r="X229" t="s">
        <v>140</v>
      </c>
      <c r="Y229" t="s">
        <v>140</v>
      </c>
      <c r="Z229" t="s">
        <v>140</v>
      </c>
      <c r="AA229" t="s">
        <v>140</v>
      </c>
      <c r="AB229" t="s">
        <v>140</v>
      </c>
      <c r="AC229" t="s">
        <v>140</v>
      </c>
      <c r="AD229" t="s">
        <v>140</v>
      </c>
      <c r="AE229" t="s">
        <v>140</v>
      </c>
      <c r="AF229" t="s">
        <v>140</v>
      </c>
      <c r="AG229" t="s">
        <v>140</v>
      </c>
      <c r="AH229" t="s">
        <v>140</v>
      </c>
      <c r="AI229" t="s">
        <v>140</v>
      </c>
      <c r="AJ229" t="s">
        <v>140</v>
      </c>
      <c r="AK229" t="s">
        <v>140</v>
      </c>
      <c r="AL229" t="s">
        <v>140</v>
      </c>
      <c r="AM229" t="s">
        <v>140</v>
      </c>
      <c r="AN229" t="s">
        <v>140</v>
      </c>
      <c r="AO229" t="s">
        <v>140</v>
      </c>
      <c r="AP229" t="s">
        <v>140</v>
      </c>
      <c r="AQ229" t="s">
        <v>140</v>
      </c>
      <c r="AR229" t="s">
        <v>140</v>
      </c>
      <c r="AS229" t="s">
        <v>140</v>
      </c>
      <c r="AT229" t="s">
        <v>140</v>
      </c>
      <c r="AU229" t="s">
        <v>140</v>
      </c>
      <c r="AV229" t="s">
        <v>140</v>
      </c>
      <c r="AW229" t="s">
        <v>140</v>
      </c>
      <c r="AX229" t="s">
        <v>140</v>
      </c>
      <c r="AY229" t="s">
        <v>140</v>
      </c>
      <c r="AZ229" t="s">
        <v>140</v>
      </c>
      <c r="BA229" t="s">
        <v>140</v>
      </c>
      <c r="BB229" t="s">
        <v>140</v>
      </c>
      <c r="BC229" t="s">
        <v>140</v>
      </c>
      <c r="BD229" t="s">
        <v>140</v>
      </c>
      <c r="BE229" t="s">
        <v>140</v>
      </c>
      <c r="BF229" t="s">
        <v>140</v>
      </c>
      <c r="BG229" t="s">
        <v>140</v>
      </c>
      <c r="BH229" t="s">
        <v>140</v>
      </c>
      <c r="BI229" t="s">
        <v>140</v>
      </c>
      <c r="BJ229" t="s">
        <v>140</v>
      </c>
      <c r="BK229" t="s">
        <v>140</v>
      </c>
      <c r="BL229" t="s">
        <v>140</v>
      </c>
      <c r="BM229" t="s">
        <v>140</v>
      </c>
      <c r="BN229" t="s">
        <v>140</v>
      </c>
      <c r="BO229" t="s">
        <v>140</v>
      </c>
      <c r="BP229" t="s">
        <v>140</v>
      </c>
      <c r="BQ229" t="s">
        <v>140</v>
      </c>
      <c r="BR229" t="s">
        <v>140</v>
      </c>
      <c r="BS229" t="s">
        <v>140</v>
      </c>
      <c r="BT229" t="s">
        <v>140</v>
      </c>
      <c r="BU229" t="s">
        <v>140</v>
      </c>
      <c r="BV229" t="s">
        <v>140</v>
      </c>
      <c r="BW229" t="s">
        <v>140</v>
      </c>
      <c r="BX229" t="s">
        <v>140</v>
      </c>
      <c r="BY229" t="s">
        <v>140</v>
      </c>
      <c r="BZ229" t="s">
        <v>140</v>
      </c>
      <c r="CA229" t="s">
        <v>140</v>
      </c>
      <c r="CB229" t="s">
        <v>140</v>
      </c>
      <c r="CC229" t="s">
        <v>140</v>
      </c>
      <c r="CD229" t="s">
        <v>140</v>
      </c>
      <c r="CE229" t="s">
        <v>140</v>
      </c>
      <c r="CF229" t="s">
        <v>140</v>
      </c>
      <c r="CG229" t="s">
        <v>140</v>
      </c>
      <c r="CH229" t="s">
        <v>140</v>
      </c>
      <c r="CI229" t="s">
        <v>140</v>
      </c>
      <c r="CJ229" t="s">
        <v>140</v>
      </c>
      <c r="CK229" t="s">
        <v>140</v>
      </c>
      <c r="CL229" t="s">
        <v>140</v>
      </c>
      <c r="CM229" t="s">
        <v>140</v>
      </c>
      <c r="CN229" t="s">
        <v>140</v>
      </c>
      <c r="CO229" t="s">
        <v>140</v>
      </c>
      <c r="CP229" t="s">
        <v>140</v>
      </c>
      <c r="CQ229" t="s">
        <v>140</v>
      </c>
      <c r="CR229" t="s">
        <v>140</v>
      </c>
      <c r="CS229" t="s">
        <v>140</v>
      </c>
      <c r="CT229" t="s">
        <v>140</v>
      </c>
      <c r="CU229" t="s">
        <v>140</v>
      </c>
      <c r="CV229" t="s">
        <v>140</v>
      </c>
      <c r="CW229" t="s">
        <v>140</v>
      </c>
      <c r="CX229" t="s">
        <v>140</v>
      </c>
      <c r="CY229" t="s">
        <v>140</v>
      </c>
      <c r="CZ229" t="s">
        <v>140</v>
      </c>
      <c r="DA229" t="s">
        <v>140</v>
      </c>
      <c r="DB229" t="s">
        <v>140</v>
      </c>
      <c r="DC229" s="1">
        <v>0.06</v>
      </c>
      <c r="DD229" s="1">
        <v>1.45</v>
      </c>
      <c r="DE229" s="1">
        <v>0.54</v>
      </c>
      <c r="DF229" s="1">
        <v>0.73</v>
      </c>
      <c r="DG229" s="1">
        <v>0</v>
      </c>
      <c r="DH229" s="1">
        <v>0.48</v>
      </c>
      <c r="DI229" s="1">
        <v>0.43</v>
      </c>
      <c r="DJ229" s="1">
        <v>0.19</v>
      </c>
      <c r="DK229" s="1">
        <v>0.55000000000000004</v>
      </c>
      <c r="DL229" s="1">
        <v>0.76</v>
      </c>
      <c r="DM229" s="1">
        <v>0.66</v>
      </c>
      <c r="DN229" s="1">
        <v>0.75</v>
      </c>
      <c r="DO229" s="1">
        <v>0.56999999999999995</v>
      </c>
      <c r="DP229" s="1">
        <v>0.51</v>
      </c>
      <c r="DQ229" s="1">
        <v>0.73</v>
      </c>
      <c r="DR229" s="1">
        <v>0.71</v>
      </c>
      <c r="DS229" s="1">
        <v>0.09</v>
      </c>
      <c r="DT229" s="1">
        <v>0.1</v>
      </c>
      <c r="DU229" s="1">
        <v>0.11</v>
      </c>
      <c r="DV229" s="1">
        <v>0.17</v>
      </c>
      <c r="DW229" s="1">
        <v>0.09</v>
      </c>
      <c r="DX229" s="1">
        <v>1.62</v>
      </c>
      <c r="DY229" s="1">
        <v>0.51</v>
      </c>
      <c r="DZ229" s="1">
        <v>2.63</v>
      </c>
      <c r="EA229" s="1">
        <v>0.72</v>
      </c>
      <c r="EB229" s="1">
        <v>1.1100000000000001</v>
      </c>
      <c r="EC229" s="1">
        <v>0.25</v>
      </c>
      <c r="ED229" s="1">
        <v>0.4</v>
      </c>
    </row>
    <row r="230" spans="1:134" x14ac:dyDescent="0.25">
      <c r="A230" t="s">
        <v>343</v>
      </c>
      <c r="B230" s="1">
        <v>6.92</v>
      </c>
      <c r="C230" s="1">
        <v>15.54</v>
      </c>
      <c r="D230" s="1">
        <v>13.31</v>
      </c>
      <c r="E230" s="1">
        <v>15.61</v>
      </c>
      <c r="F230" s="1">
        <v>15.17</v>
      </c>
      <c r="G230" s="1">
        <v>15.36</v>
      </c>
      <c r="H230" s="1">
        <v>18.329999999999998</v>
      </c>
      <c r="I230" s="1">
        <v>16.03</v>
      </c>
      <c r="J230" s="1">
        <v>16.71</v>
      </c>
      <c r="K230" s="1">
        <v>8.82</v>
      </c>
      <c r="L230" s="1">
        <v>9.26</v>
      </c>
      <c r="M230" s="1">
        <v>9.26</v>
      </c>
      <c r="N230" t="s">
        <v>141</v>
      </c>
      <c r="O230" t="s">
        <v>140</v>
      </c>
      <c r="P230" t="s">
        <v>140</v>
      </c>
      <c r="Q230" t="s">
        <v>140</v>
      </c>
      <c r="R230" t="s">
        <v>140</v>
      </c>
      <c r="S230" t="s">
        <v>140</v>
      </c>
      <c r="T230" t="s">
        <v>140</v>
      </c>
      <c r="U230" t="s">
        <v>140</v>
      </c>
      <c r="V230" t="s">
        <v>140</v>
      </c>
      <c r="W230" t="s">
        <v>140</v>
      </c>
      <c r="X230" t="s">
        <v>140</v>
      </c>
      <c r="Y230" t="s">
        <v>140</v>
      </c>
      <c r="Z230" t="s">
        <v>140</v>
      </c>
      <c r="AA230" t="s">
        <v>140</v>
      </c>
      <c r="AB230" t="s">
        <v>140</v>
      </c>
      <c r="AC230" t="s">
        <v>140</v>
      </c>
      <c r="AD230" t="s">
        <v>140</v>
      </c>
      <c r="AE230" t="s">
        <v>140</v>
      </c>
      <c r="AF230" t="s">
        <v>140</v>
      </c>
      <c r="AG230" t="s">
        <v>140</v>
      </c>
      <c r="AH230" t="s">
        <v>140</v>
      </c>
      <c r="AI230" t="s">
        <v>140</v>
      </c>
      <c r="AJ230" t="s">
        <v>140</v>
      </c>
      <c r="AK230" t="s">
        <v>140</v>
      </c>
      <c r="AL230" t="s">
        <v>140</v>
      </c>
      <c r="AM230" t="s">
        <v>140</v>
      </c>
      <c r="AN230" t="s">
        <v>140</v>
      </c>
      <c r="AO230" t="s">
        <v>140</v>
      </c>
      <c r="AP230" t="s">
        <v>140</v>
      </c>
      <c r="AQ230" t="s">
        <v>140</v>
      </c>
      <c r="AR230" t="s">
        <v>140</v>
      </c>
      <c r="AS230" t="s">
        <v>140</v>
      </c>
      <c r="AT230" t="s">
        <v>140</v>
      </c>
      <c r="AU230" t="s">
        <v>140</v>
      </c>
      <c r="AV230" t="s">
        <v>140</v>
      </c>
      <c r="AW230" t="s">
        <v>140</v>
      </c>
      <c r="AX230" t="s">
        <v>140</v>
      </c>
      <c r="AY230" t="s">
        <v>140</v>
      </c>
      <c r="AZ230" t="s">
        <v>140</v>
      </c>
      <c r="BA230" t="s">
        <v>140</v>
      </c>
      <c r="BB230" t="s">
        <v>140</v>
      </c>
      <c r="BC230" t="s">
        <v>140</v>
      </c>
      <c r="BD230" t="s">
        <v>140</v>
      </c>
      <c r="BE230" t="s">
        <v>140</v>
      </c>
      <c r="BF230" t="s">
        <v>140</v>
      </c>
      <c r="BG230" t="s">
        <v>140</v>
      </c>
      <c r="BH230" t="s">
        <v>140</v>
      </c>
      <c r="BI230" t="s">
        <v>140</v>
      </c>
      <c r="BJ230" t="s">
        <v>140</v>
      </c>
      <c r="BK230" t="s">
        <v>140</v>
      </c>
      <c r="BL230" t="s">
        <v>140</v>
      </c>
      <c r="BM230" t="s">
        <v>140</v>
      </c>
      <c r="BN230" t="s">
        <v>140</v>
      </c>
      <c r="BO230" t="s">
        <v>140</v>
      </c>
      <c r="BP230" t="s">
        <v>140</v>
      </c>
      <c r="BQ230" t="s">
        <v>140</v>
      </c>
      <c r="BR230" t="s">
        <v>140</v>
      </c>
      <c r="BS230" t="s">
        <v>140</v>
      </c>
      <c r="BT230" t="s">
        <v>140</v>
      </c>
      <c r="BU230" t="s">
        <v>140</v>
      </c>
      <c r="BV230" t="s">
        <v>140</v>
      </c>
      <c r="BW230" t="s">
        <v>140</v>
      </c>
      <c r="BX230" t="s">
        <v>140</v>
      </c>
      <c r="BY230" t="s">
        <v>140</v>
      </c>
      <c r="BZ230" t="s">
        <v>140</v>
      </c>
      <c r="CA230" t="s">
        <v>140</v>
      </c>
      <c r="CB230" t="s">
        <v>140</v>
      </c>
      <c r="CC230" t="s">
        <v>140</v>
      </c>
      <c r="CD230" t="s">
        <v>140</v>
      </c>
      <c r="CE230" t="s">
        <v>140</v>
      </c>
      <c r="CF230" t="s">
        <v>140</v>
      </c>
      <c r="CG230" t="s">
        <v>140</v>
      </c>
      <c r="CH230" t="s">
        <v>140</v>
      </c>
      <c r="CI230" t="s">
        <v>140</v>
      </c>
      <c r="CJ230" t="s">
        <v>140</v>
      </c>
      <c r="CK230" t="s">
        <v>140</v>
      </c>
      <c r="CL230" t="s">
        <v>140</v>
      </c>
      <c r="CM230" t="s">
        <v>140</v>
      </c>
      <c r="CN230" t="s">
        <v>140</v>
      </c>
      <c r="CO230" t="s">
        <v>140</v>
      </c>
      <c r="CP230" t="s">
        <v>140</v>
      </c>
      <c r="CQ230" t="s">
        <v>140</v>
      </c>
      <c r="CR230" t="s">
        <v>140</v>
      </c>
      <c r="CS230" t="s">
        <v>140</v>
      </c>
      <c r="CT230" t="s">
        <v>140</v>
      </c>
      <c r="CU230" t="s">
        <v>140</v>
      </c>
      <c r="CV230" t="s">
        <v>140</v>
      </c>
      <c r="CW230" t="s">
        <v>140</v>
      </c>
      <c r="CX230" t="s">
        <v>140</v>
      </c>
      <c r="CY230" t="s">
        <v>140</v>
      </c>
      <c r="CZ230" t="s">
        <v>140</v>
      </c>
      <c r="DA230" t="s">
        <v>140</v>
      </c>
      <c r="DB230" t="s">
        <v>140</v>
      </c>
      <c r="DC230" t="s">
        <v>344</v>
      </c>
      <c r="DD230" t="s">
        <v>140</v>
      </c>
      <c r="DE230" t="s">
        <v>140</v>
      </c>
      <c r="DF230" t="s">
        <v>140</v>
      </c>
      <c r="DG230" s="1">
        <v>20.73</v>
      </c>
      <c r="DH230" s="1">
        <v>23.67</v>
      </c>
      <c r="DI230" s="1">
        <v>18.239999999999998</v>
      </c>
      <c r="DJ230" s="1">
        <v>0</v>
      </c>
      <c r="DK230" s="1">
        <v>9.61</v>
      </c>
      <c r="DL230" s="1">
        <v>36.76</v>
      </c>
      <c r="DM230" s="1">
        <v>13.12</v>
      </c>
      <c r="DN230" s="1">
        <v>13.5</v>
      </c>
      <c r="DO230" s="1">
        <v>14.61</v>
      </c>
      <c r="DP230" s="1">
        <v>16.68</v>
      </c>
      <c r="DQ230" s="1">
        <v>15.7</v>
      </c>
      <c r="DR230" s="1">
        <v>14.7</v>
      </c>
      <c r="DS230" s="1">
        <v>16.57</v>
      </c>
      <c r="DT230" s="1">
        <v>14.4</v>
      </c>
      <c r="DU230" s="1">
        <v>18.239999999999998</v>
      </c>
      <c r="DV230" s="1">
        <v>18.41</v>
      </c>
      <c r="DW230" s="1">
        <v>18.559999999999999</v>
      </c>
      <c r="DX230" s="1">
        <v>14.15</v>
      </c>
      <c r="DY230" s="1">
        <v>15.96</v>
      </c>
      <c r="DZ230" s="1">
        <v>17.5</v>
      </c>
      <c r="EA230" s="1">
        <v>9.24</v>
      </c>
      <c r="EB230" s="1">
        <v>8.44</v>
      </c>
      <c r="EC230" s="1">
        <v>8.56</v>
      </c>
      <c r="ED230" s="1">
        <v>10.06</v>
      </c>
    </row>
    <row r="231" spans="1:134" s="20" customFormat="1" x14ac:dyDescent="0.25">
      <c r="A231" s="20" t="s">
        <v>345</v>
      </c>
      <c r="B231" s="21">
        <v>25.4</v>
      </c>
      <c r="C231" s="21">
        <v>29.6</v>
      </c>
      <c r="D231" s="21">
        <v>43</v>
      </c>
      <c r="E231" s="21">
        <v>46.3</v>
      </c>
      <c r="F231" s="21">
        <v>53.2</v>
      </c>
      <c r="G231" s="21">
        <v>49.7</v>
      </c>
      <c r="H231" s="21">
        <v>58.3</v>
      </c>
      <c r="I231" s="21">
        <v>74.25</v>
      </c>
      <c r="J231" s="21">
        <v>91.8</v>
      </c>
      <c r="K231" s="21">
        <v>99.25</v>
      </c>
      <c r="L231" s="21">
        <v>74.25</v>
      </c>
      <c r="M231" s="21">
        <v>78.7</v>
      </c>
      <c r="N231" s="20" t="s">
        <v>141</v>
      </c>
      <c r="O231" s="20" t="s">
        <v>140</v>
      </c>
      <c r="P231" s="20" t="s">
        <v>140</v>
      </c>
      <c r="Q231" s="20" t="s">
        <v>140</v>
      </c>
      <c r="R231" s="20" t="s">
        <v>140</v>
      </c>
      <c r="S231" s="20" t="s">
        <v>140</v>
      </c>
      <c r="T231" s="20" t="s">
        <v>140</v>
      </c>
      <c r="U231" s="20" t="s">
        <v>140</v>
      </c>
      <c r="V231" s="20" t="s">
        <v>140</v>
      </c>
      <c r="W231" s="20" t="s">
        <v>140</v>
      </c>
      <c r="X231" s="20" t="s">
        <v>140</v>
      </c>
      <c r="Y231" s="20" t="s">
        <v>140</v>
      </c>
      <c r="Z231" s="20" t="s">
        <v>140</v>
      </c>
      <c r="AA231" s="20" t="s">
        <v>140</v>
      </c>
      <c r="AB231" s="20" t="s">
        <v>140</v>
      </c>
      <c r="AC231" s="20" t="s">
        <v>140</v>
      </c>
      <c r="AD231" s="20" t="s">
        <v>140</v>
      </c>
      <c r="AE231" s="20" t="s">
        <v>140</v>
      </c>
      <c r="AF231" s="20" t="s">
        <v>140</v>
      </c>
      <c r="AG231" s="20" t="s">
        <v>140</v>
      </c>
      <c r="AH231" s="20" t="s">
        <v>140</v>
      </c>
      <c r="AI231" s="20" t="s">
        <v>140</v>
      </c>
      <c r="AJ231" s="20" t="s">
        <v>140</v>
      </c>
      <c r="AK231" s="20" t="s">
        <v>140</v>
      </c>
      <c r="AL231" s="20" t="s">
        <v>140</v>
      </c>
      <c r="AM231" s="20" t="s">
        <v>140</v>
      </c>
      <c r="AN231" s="20" t="s">
        <v>140</v>
      </c>
      <c r="AO231" s="20" t="s">
        <v>140</v>
      </c>
      <c r="AP231" s="20" t="s">
        <v>140</v>
      </c>
      <c r="AQ231" s="20" t="s">
        <v>140</v>
      </c>
      <c r="AR231" s="20" t="s">
        <v>140</v>
      </c>
      <c r="AS231" s="20" t="s">
        <v>140</v>
      </c>
      <c r="AT231" s="20" t="s">
        <v>140</v>
      </c>
      <c r="AU231" s="20" t="s">
        <v>140</v>
      </c>
      <c r="AV231" s="20" t="s">
        <v>140</v>
      </c>
      <c r="AW231" s="20" t="s">
        <v>140</v>
      </c>
      <c r="AX231" s="20" t="s">
        <v>140</v>
      </c>
      <c r="AY231" s="20" t="s">
        <v>140</v>
      </c>
      <c r="AZ231" s="20" t="s">
        <v>140</v>
      </c>
      <c r="BA231" s="20" t="s">
        <v>140</v>
      </c>
      <c r="BB231" s="20" t="s">
        <v>140</v>
      </c>
      <c r="BC231" s="20" t="s">
        <v>140</v>
      </c>
      <c r="BD231" s="20" t="s">
        <v>140</v>
      </c>
      <c r="BE231" s="20" t="s">
        <v>140</v>
      </c>
      <c r="BF231" s="20" t="s">
        <v>140</v>
      </c>
      <c r="BG231" s="20" t="s">
        <v>140</v>
      </c>
      <c r="BH231" s="20" t="s">
        <v>140</v>
      </c>
      <c r="BI231" s="20" t="s">
        <v>140</v>
      </c>
      <c r="BJ231" s="20" t="s">
        <v>140</v>
      </c>
      <c r="BK231" s="20" t="s">
        <v>140</v>
      </c>
      <c r="BL231" s="20" t="s">
        <v>140</v>
      </c>
      <c r="BM231" s="20" t="s">
        <v>140</v>
      </c>
      <c r="BN231" s="20" t="s">
        <v>140</v>
      </c>
      <c r="BO231" s="20" t="s">
        <v>140</v>
      </c>
      <c r="BP231" s="20" t="s">
        <v>140</v>
      </c>
      <c r="BQ231" s="20" t="s">
        <v>140</v>
      </c>
      <c r="BR231" s="20" t="s">
        <v>140</v>
      </c>
      <c r="BS231" s="20" t="s">
        <v>140</v>
      </c>
      <c r="BT231" s="20" t="s">
        <v>140</v>
      </c>
      <c r="BU231" s="20" t="s">
        <v>140</v>
      </c>
      <c r="BV231" s="20" t="s">
        <v>140</v>
      </c>
      <c r="BW231" s="20" t="s">
        <v>140</v>
      </c>
      <c r="BX231" s="20" t="s">
        <v>140</v>
      </c>
      <c r="BY231" s="20" t="s">
        <v>140</v>
      </c>
      <c r="BZ231" s="20" t="s">
        <v>140</v>
      </c>
      <c r="CA231" s="20" t="s">
        <v>140</v>
      </c>
      <c r="CB231" s="20" t="s">
        <v>140</v>
      </c>
      <c r="CC231" s="20" t="s">
        <v>140</v>
      </c>
      <c r="CD231" s="20" t="s">
        <v>140</v>
      </c>
      <c r="CE231" s="20" t="s">
        <v>140</v>
      </c>
      <c r="CF231" s="20" t="s">
        <v>140</v>
      </c>
      <c r="CG231" s="20" t="s">
        <v>140</v>
      </c>
      <c r="CH231" s="20" t="s">
        <v>140</v>
      </c>
      <c r="CI231" s="20" t="s">
        <v>140</v>
      </c>
      <c r="CJ231" s="20" t="s">
        <v>140</v>
      </c>
      <c r="CK231" s="20" t="s">
        <v>140</v>
      </c>
      <c r="CL231" s="20" t="s">
        <v>140</v>
      </c>
      <c r="CM231" s="20" t="s">
        <v>140</v>
      </c>
      <c r="CN231" s="20" t="s">
        <v>140</v>
      </c>
      <c r="CO231" s="20" t="s">
        <v>140</v>
      </c>
      <c r="CP231" s="20" t="s">
        <v>140</v>
      </c>
      <c r="CQ231" s="20" t="s">
        <v>140</v>
      </c>
      <c r="CR231" s="20" t="s">
        <v>140</v>
      </c>
      <c r="CS231" s="20" t="s">
        <v>140</v>
      </c>
      <c r="CT231" s="20" t="s">
        <v>140</v>
      </c>
      <c r="CU231" s="20" t="s">
        <v>140</v>
      </c>
      <c r="CV231" s="20" t="s">
        <v>140</v>
      </c>
      <c r="CW231" s="20" t="s">
        <v>140</v>
      </c>
      <c r="CX231" s="20" t="s">
        <v>140</v>
      </c>
      <c r="CY231" s="20" t="s">
        <v>140</v>
      </c>
      <c r="CZ231" s="20" t="s">
        <v>140</v>
      </c>
      <c r="DA231" s="20" t="s">
        <v>140</v>
      </c>
      <c r="DB231" s="20" t="s">
        <v>140</v>
      </c>
      <c r="DC231" s="21">
        <v>0</v>
      </c>
      <c r="DD231" s="21">
        <v>0</v>
      </c>
      <c r="DE231" s="21">
        <v>19.48</v>
      </c>
      <c r="DF231" s="21">
        <v>16</v>
      </c>
      <c r="DG231" s="21">
        <v>17.760000000000002</v>
      </c>
      <c r="DH231" s="21">
        <v>19.399999999999999</v>
      </c>
      <c r="DI231" s="21">
        <v>23.45</v>
      </c>
      <c r="DJ231" s="21">
        <v>25.4</v>
      </c>
      <c r="DK231" s="21">
        <v>28.15</v>
      </c>
      <c r="DL231" s="21">
        <v>29.6</v>
      </c>
      <c r="DM231" s="21">
        <v>36.75</v>
      </c>
      <c r="DN231" s="21">
        <v>43</v>
      </c>
      <c r="DO231" s="21">
        <v>46.3</v>
      </c>
      <c r="DP231" s="21">
        <v>39.950000000000003</v>
      </c>
      <c r="DQ231" s="21">
        <v>46.9</v>
      </c>
      <c r="DR231" s="21">
        <v>53.2</v>
      </c>
      <c r="DS231" s="21">
        <v>49.7</v>
      </c>
      <c r="DT231" s="21">
        <v>48.7</v>
      </c>
      <c r="DU231" s="21">
        <v>58.3</v>
      </c>
      <c r="DV231" s="21">
        <v>58</v>
      </c>
      <c r="DW231" s="21">
        <v>65.150000000000006</v>
      </c>
      <c r="DX231" s="21">
        <v>74.25</v>
      </c>
      <c r="DY231" s="21">
        <v>78.45</v>
      </c>
      <c r="DZ231" s="21">
        <v>91.8</v>
      </c>
      <c r="EA231" s="21">
        <v>99.25</v>
      </c>
      <c r="EB231" s="21">
        <v>87.45</v>
      </c>
      <c r="EC231" s="21">
        <v>70.400000000000006</v>
      </c>
      <c r="ED231" s="21">
        <v>74.25</v>
      </c>
    </row>
    <row r="232" spans="1:134" s="20" customFormat="1" ht="14.25" customHeight="1" x14ac:dyDescent="0.25">
      <c r="A232" s="20" t="s">
        <v>346</v>
      </c>
      <c r="B232" s="21">
        <v>18.170000000000002</v>
      </c>
      <c r="C232" s="21">
        <v>23.6</v>
      </c>
      <c r="D232" s="21">
        <v>28.8</v>
      </c>
      <c r="E232" s="21">
        <v>33.950000000000003</v>
      </c>
      <c r="F232" s="21">
        <v>37.65</v>
      </c>
      <c r="G232" s="21">
        <v>40.65</v>
      </c>
      <c r="H232" s="21">
        <v>45.5</v>
      </c>
      <c r="I232" s="21">
        <v>55</v>
      </c>
      <c r="J232" s="21">
        <v>65.8</v>
      </c>
      <c r="K232" s="21">
        <v>63.75</v>
      </c>
      <c r="L232" s="21">
        <v>57</v>
      </c>
      <c r="M232" s="21">
        <v>58.8</v>
      </c>
      <c r="N232" s="20" t="s">
        <v>141</v>
      </c>
      <c r="O232" s="20" t="s">
        <v>140</v>
      </c>
      <c r="P232" s="20" t="s">
        <v>140</v>
      </c>
      <c r="Q232" s="20" t="s">
        <v>140</v>
      </c>
      <c r="R232" s="20" t="s">
        <v>140</v>
      </c>
      <c r="S232" s="20" t="s">
        <v>140</v>
      </c>
      <c r="T232" s="20" t="s">
        <v>140</v>
      </c>
      <c r="U232" s="20" t="s">
        <v>140</v>
      </c>
      <c r="V232" s="20" t="s">
        <v>140</v>
      </c>
      <c r="W232" s="20" t="s">
        <v>140</v>
      </c>
      <c r="X232" s="20" t="s">
        <v>140</v>
      </c>
      <c r="Y232" s="20" t="s">
        <v>140</v>
      </c>
      <c r="Z232" s="20" t="s">
        <v>140</v>
      </c>
      <c r="AA232" s="20" t="s">
        <v>140</v>
      </c>
      <c r="AB232" s="20" t="s">
        <v>140</v>
      </c>
      <c r="AC232" s="20" t="s">
        <v>140</v>
      </c>
      <c r="AD232" s="20" t="s">
        <v>140</v>
      </c>
      <c r="AE232" s="20" t="s">
        <v>140</v>
      </c>
      <c r="AF232" s="20" t="s">
        <v>140</v>
      </c>
      <c r="AG232" s="20" t="s">
        <v>140</v>
      </c>
      <c r="AH232" s="20" t="s">
        <v>140</v>
      </c>
      <c r="AI232" s="20" t="s">
        <v>140</v>
      </c>
      <c r="AJ232" s="20" t="s">
        <v>140</v>
      </c>
      <c r="AK232" s="20" t="s">
        <v>140</v>
      </c>
      <c r="AL232" s="20" t="s">
        <v>140</v>
      </c>
      <c r="AM232" s="20" t="s">
        <v>140</v>
      </c>
      <c r="AN232" s="20" t="s">
        <v>140</v>
      </c>
      <c r="AO232" s="20" t="s">
        <v>140</v>
      </c>
      <c r="AP232" s="20" t="s">
        <v>140</v>
      </c>
      <c r="AQ232" s="20" t="s">
        <v>140</v>
      </c>
      <c r="AR232" s="20" t="s">
        <v>140</v>
      </c>
      <c r="AS232" s="20" t="s">
        <v>140</v>
      </c>
      <c r="AT232" s="20" t="s">
        <v>140</v>
      </c>
      <c r="AU232" s="20" t="s">
        <v>140</v>
      </c>
      <c r="AV232" s="20" t="s">
        <v>140</v>
      </c>
      <c r="AW232" s="20" t="s">
        <v>140</v>
      </c>
      <c r="AX232" s="20" t="s">
        <v>140</v>
      </c>
      <c r="AY232" s="20" t="s">
        <v>140</v>
      </c>
      <c r="AZ232" s="20" t="s">
        <v>140</v>
      </c>
      <c r="BA232" s="20" t="s">
        <v>140</v>
      </c>
      <c r="BB232" s="20" t="s">
        <v>140</v>
      </c>
      <c r="BC232" s="20" t="s">
        <v>140</v>
      </c>
      <c r="BD232" s="20" t="s">
        <v>140</v>
      </c>
      <c r="BE232" s="20" t="s">
        <v>140</v>
      </c>
      <c r="BF232" s="20" t="s">
        <v>140</v>
      </c>
      <c r="BG232" s="20" t="s">
        <v>140</v>
      </c>
      <c r="BH232" s="20" t="s">
        <v>140</v>
      </c>
      <c r="BI232" s="20" t="s">
        <v>140</v>
      </c>
      <c r="BJ232" s="20" t="s">
        <v>140</v>
      </c>
      <c r="BK232" s="20" t="s">
        <v>140</v>
      </c>
      <c r="BL232" s="20" t="s">
        <v>140</v>
      </c>
      <c r="BM232" s="20" t="s">
        <v>140</v>
      </c>
      <c r="BN232" s="20" t="s">
        <v>140</v>
      </c>
      <c r="BO232" s="20" t="s">
        <v>140</v>
      </c>
      <c r="BP232" s="20" t="s">
        <v>140</v>
      </c>
      <c r="BQ232" s="20" t="s">
        <v>140</v>
      </c>
      <c r="BR232" s="20" t="s">
        <v>140</v>
      </c>
      <c r="BS232" s="20" t="s">
        <v>140</v>
      </c>
      <c r="BT232" s="20" t="s">
        <v>140</v>
      </c>
      <c r="BU232" s="20" t="s">
        <v>140</v>
      </c>
      <c r="BV232" s="20" t="s">
        <v>140</v>
      </c>
      <c r="BW232" s="20" t="s">
        <v>140</v>
      </c>
      <c r="BX232" s="20" t="s">
        <v>140</v>
      </c>
      <c r="BY232" s="20" t="s">
        <v>140</v>
      </c>
      <c r="BZ232" s="20" t="s">
        <v>140</v>
      </c>
      <c r="CA232" s="20" t="s">
        <v>140</v>
      </c>
      <c r="CB232" s="20" t="s">
        <v>140</v>
      </c>
      <c r="CC232" s="20" t="s">
        <v>140</v>
      </c>
      <c r="CD232" s="20" t="s">
        <v>140</v>
      </c>
      <c r="CE232" s="20" t="s">
        <v>140</v>
      </c>
      <c r="CF232" s="20" t="s">
        <v>140</v>
      </c>
      <c r="CG232" s="20" t="s">
        <v>140</v>
      </c>
      <c r="CH232" s="20" t="s">
        <v>140</v>
      </c>
      <c r="CI232" s="20" t="s">
        <v>140</v>
      </c>
      <c r="CJ232" s="20" t="s">
        <v>140</v>
      </c>
      <c r="CK232" s="20" t="s">
        <v>140</v>
      </c>
      <c r="CL232" s="20" t="s">
        <v>140</v>
      </c>
      <c r="CM232" s="20" t="s">
        <v>140</v>
      </c>
      <c r="CN232" s="20" t="s">
        <v>140</v>
      </c>
      <c r="CO232" s="20" t="s">
        <v>140</v>
      </c>
      <c r="CP232" s="20" t="s">
        <v>140</v>
      </c>
      <c r="CQ232" s="20" t="s">
        <v>140</v>
      </c>
      <c r="CR232" s="20" t="s">
        <v>140</v>
      </c>
      <c r="CS232" s="20" t="s">
        <v>140</v>
      </c>
      <c r="CT232" s="20" t="s">
        <v>140</v>
      </c>
      <c r="CU232" s="20" t="s">
        <v>140</v>
      </c>
      <c r="CV232" s="20" t="s">
        <v>140</v>
      </c>
      <c r="CW232" s="20" t="s">
        <v>140</v>
      </c>
      <c r="CX232" s="20" t="s">
        <v>140</v>
      </c>
      <c r="CY232" s="20" t="s">
        <v>140</v>
      </c>
      <c r="CZ232" s="20" t="s">
        <v>140</v>
      </c>
      <c r="DA232" s="20" t="s">
        <v>140</v>
      </c>
      <c r="DB232" s="20" t="s">
        <v>140</v>
      </c>
      <c r="DC232" s="21">
        <v>0</v>
      </c>
      <c r="DD232" s="21">
        <v>0</v>
      </c>
      <c r="DE232" s="21">
        <v>16.3</v>
      </c>
      <c r="DF232" s="21">
        <v>11.38</v>
      </c>
      <c r="DG232" s="21">
        <v>13.91</v>
      </c>
      <c r="DH232" s="21">
        <v>16.489999999999998</v>
      </c>
      <c r="DI232" s="21">
        <v>18.170000000000002</v>
      </c>
      <c r="DJ232" s="21">
        <v>23.05</v>
      </c>
      <c r="DK232" s="21">
        <v>24.05</v>
      </c>
      <c r="DL232" s="21">
        <v>23.6</v>
      </c>
      <c r="DM232" s="21">
        <v>28.8</v>
      </c>
      <c r="DN232" s="21">
        <v>36.5</v>
      </c>
      <c r="DO232" s="21">
        <v>33.950000000000003</v>
      </c>
      <c r="DP232" s="21">
        <v>34.549999999999997</v>
      </c>
      <c r="DQ232" s="21">
        <v>37.65</v>
      </c>
      <c r="DR232" s="21">
        <v>43.95</v>
      </c>
      <c r="DS232" s="21">
        <v>40.65</v>
      </c>
      <c r="DT232" s="21">
        <v>42.55</v>
      </c>
      <c r="DU232" s="21">
        <v>45.5</v>
      </c>
      <c r="DV232" s="21">
        <v>49</v>
      </c>
      <c r="DW232" s="21">
        <v>55</v>
      </c>
      <c r="DX232" s="21">
        <v>63.5</v>
      </c>
      <c r="DY232" s="21">
        <v>65.8</v>
      </c>
      <c r="DZ232" s="21">
        <v>69.5</v>
      </c>
      <c r="EA232" s="21">
        <v>85.3</v>
      </c>
      <c r="EB232" s="21">
        <v>63.75</v>
      </c>
      <c r="EC232" s="21">
        <v>57</v>
      </c>
      <c r="ED232" s="21">
        <v>59.05</v>
      </c>
    </row>
    <row r="233" spans="1:134" x14ac:dyDescent="0.25">
      <c r="A233" t="s">
        <v>347</v>
      </c>
      <c r="B233" s="1">
        <v>1.08</v>
      </c>
      <c r="C233" s="1">
        <v>-1.35</v>
      </c>
      <c r="D233" s="1">
        <v>-1.1399999999999999</v>
      </c>
      <c r="E233" s="1">
        <v>-1</v>
      </c>
      <c r="F233" s="1">
        <v>0.83</v>
      </c>
      <c r="G233" s="1">
        <v>2.12</v>
      </c>
      <c r="H233" s="1">
        <v>1.34</v>
      </c>
      <c r="I233" s="1">
        <v>2.84</v>
      </c>
      <c r="J233" s="1">
        <v>1.89</v>
      </c>
      <c r="K233" s="1">
        <v>2.44</v>
      </c>
      <c r="L233" s="1">
        <v>-1.1599999999999999</v>
      </c>
      <c r="M233" s="1">
        <v>-1.1599999999999999</v>
      </c>
      <c r="N233" t="s">
        <v>141</v>
      </c>
      <c r="O233" t="s">
        <v>140</v>
      </c>
      <c r="P233" t="s">
        <v>140</v>
      </c>
      <c r="Q233" t="s">
        <v>140</v>
      </c>
      <c r="R233" t="s">
        <v>140</v>
      </c>
      <c r="S233" t="s">
        <v>140</v>
      </c>
      <c r="T233" t="s">
        <v>140</v>
      </c>
      <c r="U233" t="s">
        <v>140</v>
      </c>
      <c r="V233" t="s">
        <v>140</v>
      </c>
      <c r="W233" t="s">
        <v>140</v>
      </c>
      <c r="X233" t="s">
        <v>140</v>
      </c>
      <c r="Y233" t="s">
        <v>140</v>
      </c>
      <c r="Z233" t="s">
        <v>140</v>
      </c>
      <c r="AA233" t="s">
        <v>140</v>
      </c>
      <c r="AB233" t="s">
        <v>140</v>
      </c>
      <c r="AC233" t="s">
        <v>140</v>
      </c>
      <c r="AD233" t="s">
        <v>140</v>
      </c>
      <c r="AE233" t="s">
        <v>140</v>
      </c>
      <c r="AF233" t="s">
        <v>140</v>
      </c>
      <c r="AG233" t="s">
        <v>140</v>
      </c>
      <c r="AH233" t="s">
        <v>140</v>
      </c>
      <c r="AI233" t="s">
        <v>140</v>
      </c>
      <c r="AJ233" t="s">
        <v>140</v>
      </c>
      <c r="AK233" t="s">
        <v>140</v>
      </c>
      <c r="AL233" t="s">
        <v>140</v>
      </c>
      <c r="AM233" t="s">
        <v>140</v>
      </c>
      <c r="AN233" t="s">
        <v>140</v>
      </c>
      <c r="AO233" t="s">
        <v>140</v>
      </c>
      <c r="AP233" t="s">
        <v>140</v>
      </c>
      <c r="AQ233" t="s">
        <v>140</v>
      </c>
      <c r="AR233" t="s">
        <v>140</v>
      </c>
      <c r="AS233" t="s">
        <v>140</v>
      </c>
      <c r="AT233" t="s">
        <v>140</v>
      </c>
      <c r="AU233" t="s">
        <v>140</v>
      </c>
      <c r="AV233" t="s">
        <v>140</v>
      </c>
      <c r="AW233" t="s">
        <v>140</v>
      </c>
      <c r="AX233" t="s">
        <v>140</v>
      </c>
      <c r="AY233" t="s">
        <v>140</v>
      </c>
      <c r="AZ233" t="s">
        <v>140</v>
      </c>
      <c r="BA233" t="s">
        <v>140</v>
      </c>
      <c r="BB233" t="s">
        <v>140</v>
      </c>
      <c r="BC233" t="s">
        <v>140</v>
      </c>
      <c r="BD233" t="s">
        <v>140</v>
      </c>
      <c r="BE233" t="s">
        <v>140</v>
      </c>
      <c r="BF233" t="s">
        <v>140</v>
      </c>
      <c r="BG233" t="s">
        <v>140</v>
      </c>
      <c r="BH233" t="s">
        <v>140</v>
      </c>
      <c r="BI233" t="s">
        <v>140</v>
      </c>
      <c r="BJ233" t="s">
        <v>140</v>
      </c>
      <c r="BK233" t="s">
        <v>140</v>
      </c>
      <c r="BL233" t="s">
        <v>140</v>
      </c>
      <c r="BM233" t="s">
        <v>140</v>
      </c>
      <c r="BN233" t="s">
        <v>140</v>
      </c>
      <c r="BO233" t="s">
        <v>140</v>
      </c>
      <c r="BP233" t="s">
        <v>140</v>
      </c>
      <c r="BQ233" t="s">
        <v>140</v>
      </c>
      <c r="BR233" t="s">
        <v>140</v>
      </c>
      <c r="BS233" t="s">
        <v>140</v>
      </c>
      <c r="BT233" t="s">
        <v>140</v>
      </c>
      <c r="BU233" t="s">
        <v>140</v>
      </c>
      <c r="BV233" t="s">
        <v>140</v>
      </c>
      <c r="BW233" t="s">
        <v>140</v>
      </c>
      <c r="BX233" t="s">
        <v>140</v>
      </c>
      <c r="BY233" t="s">
        <v>140</v>
      </c>
      <c r="BZ233" t="s">
        <v>140</v>
      </c>
      <c r="CA233" t="s">
        <v>140</v>
      </c>
      <c r="CB233" t="s">
        <v>140</v>
      </c>
      <c r="CC233" t="s">
        <v>140</v>
      </c>
      <c r="CD233" t="s">
        <v>140</v>
      </c>
      <c r="CE233" t="s">
        <v>140</v>
      </c>
      <c r="CF233" t="s">
        <v>140</v>
      </c>
      <c r="CG233" t="s">
        <v>140</v>
      </c>
      <c r="CH233" t="s">
        <v>140</v>
      </c>
      <c r="CI233" t="s">
        <v>140</v>
      </c>
      <c r="CJ233" t="s">
        <v>140</v>
      </c>
      <c r="CK233" t="s">
        <v>140</v>
      </c>
      <c r="CL233" t="s">
        <v>140</v>
      </c>
      <c r="CM233" t="s">
        <v>140</v>
      </c>
      <c r="CN233" t="s">
        <v>140</v>
      </c>
      <c r="CO233" t="s">
        <v>140</v>
      </c>
      <c r="CP233" t="s">
        <v>140</v>
      </c>
      <c r="CQ233" t="s">
        <v>140</v>
      </c>
      <c r="CR233" t="s">
        <v>140</v>
      </c>
      <c r="CS233" t="s">
        <v>140</v>
      </c>
      <c r="CT233" t="s">
        <v>140</v>
      </c>
      <c r="CU233" t="s">
        <v>140</v>
      </c>
      <c r="CV233" t="s">
        <v>140</v>
      </c>
      <c r="CW233" t="s">
        <v>140</v>
      </c>
      <c r="CX233" t="s">
        <v>140</v>
      </c>
      <c r="CY233" t="s">
        <v>140</v>
      </c>
      <c r="CZ233" t="s">
        <v>140</v>
      </c>
      <c r="DA233" t="s">
        <v>140</v>
      </c>
      <c r="DB233" t="s">
        <v>140</v>
      </c>
      <c r="DC233" s="1">
        <v>0</v>
      </c>
      <c r="DD233" s="1">
        <v>0</v>
      </c>
      <c r="DE233" s="1">
        <v>-0.99</v>
      </c>
      <c r="DF233" s="1">
        <v>-0.39</v>
      </c>
      <c r="DG233" s="1">
        <v>-1.62</v>
      </c>
      <c r="DH233" s="1">
        <v>0</v>
      </c>
      <c r="DI233" s="1">
        <v>1.74</v>
      </c>
      <c r="DJ233" s="1">
        <v>-0.67</v>
      </c>
      <c r="DK233" s="1">
        <v>-0.77</v>
      </c>
      <c r="DL233" s="1">
        <v>-0.56999999999999995</v>
      </c>
      <c r="DM233" s="1">
        <v>-0.97</v>
      </c>
      <c r="DN233" s="1">
        <v>-0.16</v>
      </c>
      <c r="DO233" s="1">
        <v>-1</v>
      </c>
      <c r="DP233" s="1">
        <v>0</v>
      </c>
      <c r="DQ233" s="1">
        <v>0.76</v>
      </c>
      <c r="DR233" s="1">
        <v>0.06</v>
      </c>
      <c r="DS233" s="1">
        <v>1.71</v>
      </c>
      <c r="DT233" s="1">
        <v>0.41</v>
      </c>
      <c r="DU233" s="1">
        <v>0.53</v>
      </c>
      <c r="DV233" s="1">
        <v>0.82</v>
      </c>
      <c r="DW233" s="1">
        <v>0.59</v>
      </c>
      <c r="DX233" s="1">
        <v>2.2599999999999998</v>
      </c>
      <c r="DY233" s="1">
        <v>1.77</v>
      </c>
      <c r="DZ233" s="1">
        <v>0.13</v>
      </c>
      <c r="EA233" s="1">
        <v>0.59</v>
      </c>
      <c r="EB233" s="1">
        <v>1.85</v>
      </c>
      <c r="EC233" s="1">
        <v>-0.22</v>
      </c>
      <c r="ED233" s="1">
        <v>-0.94</v>
      </c>
    </row>
    <row r="234" spans="1:134" x14ac:dyDescent="0.25">
      <c r="A234" t="s">
        <v>348</v>
      </c>
      <c r="B234" s="1">
        <v>0</v>
      </c>
      <c r="C234" s="1">
        <v>0</v>
      </c>
      <c r="D234" s="1">
        <v>0</v>
      </c>
      <c r="E234" s="1">
        <v>0</v>
      </c>
      <c r="F234" s="1">
        <v>0.87</v>
      </c>
      <c r="G234" s="1">
        <v>2.13</v>
      </c>
      <c r="H234" s="1">
        <v>1.41</v>
      </c>
      <c r="I234" s="1">
        <v>3.02</v>
      </c>
      <c r="J234" s="1">
        <v>1.66</v>
      </c>
      <c r="K234" s="1">
        <v>3.14</v>
      </c>
      <c r="L234" s="1">
        <v>0.26</v>
      </c>
      <c r="M234" s="1">
        <v>0.27</v>
      </c>
      <c r="N234" t="s">
        <v>141</v>
      </c>
      <c r="O234" t="s">
        <v>140</v>
      </c>
      <c r="P234" t="s">
        <v>140</v>
      </c>
      <c r="Q234" t="s">
        <v>140</v>
      </c>
      <c r="R234" t="s">
        <v>140</v>
      </c>
      <c r="S234" t="s">
        <v>140</v>
      </c>
      <c r="T234" t="s">
        <v>140</v>
      </c>
      <c r="U234" t="s">
        <v>140</v>
      </c>
      <c r="V234" t="s">
        <v>140</v>
      </c>
      <c r="W234" t="s">
        <v>140</v>
      </c>
      <c r="X234" t="s">
        <v>140</v>
      </c>
      <c r="Y234" t="s">
        <v>140</v>
      </c>
      <c r="Z234" t="s">
        <v>140</v>
      </c>
      <c r="AA234" t="s">
        <v>140</v>
      </c>
      <c r="AB234" t="s">
        <v>140</v>
      </c>
      <c r="AC234" t="s">
        <v>140</v>
      </c>
      <c r="AD234" t="s">
        <v>140</v>
      </c>
      <c r="AE234" t="s">
        <v>140</v>
      </c>
      <c r="AF234" t="s">
        <v>140</v>
      </c>
      <c r="AG234" t="s">
        <v>140</v>
      </c>
      <c r="AH234" t="s">
        <v>140</v>
      </c>
      <c r="AI234" t="s">
        <v>140</v>
      </c>
      <c r="AJ234" t="s">
        <v>140</v>
      </c>
      <c r="AK234" t="s">
        <v>140</v>
      </c>
      <c r="AL234" t="s">
        <v>140</v>
      </c>
      <c r="AM234" t="s">
        <v>140</v>
      </c>
      <c r="AN234" t="s">
        <v>140</v>
      </c>
      <c r="AO234" t="s">
        <v>140</v>
      </c>
      <c r="AP234" t="s">
        <v>140</v>
      </c>
      <c r="AQ234" t="s">
        <v>140</v>
      </c>
      <c r="AR234" t="s">
        <v>140</v>
      </c>
      <c r="AS234" t="s">
        <v>140</v>
      </c>
      <c r="AT234" t="s">
        <v>140</v>
      </c>
      <c r="AU234" t="s">
        <v>140</v>
      </c>
      <c r="AV234" t="s">
        <v>140</v>
      </c>
      <c r="AW234" t="s">
        <v>140</v>
      </c>
      <c r="AX234" t="s">
        <v>140</v>
      </c>
      <c r="AY234" t="s">
        <v>140</v>
      </c>
      <c r="AZ234" t="s">
        <v>140</v>
      </c>
      <c r="BA234" t="s">
        <v>140</v>
      </c>
      <c r="BB234" t="s">
        <v>140</v>
      </c>
      <c r="BC234" t="s">
        <v>140</v>
      </c>
      <c r="BD234" t="s">
        <v>140</v>
      </c>
      <c r="BE234" t="s">
        <v>140</v>
      </c>
      <c r="BF234" t="s">
        <v>140</v>
      </c>
      <c r="BG234" t="s">
        <v>140</v>
      </c>
      <c r="BH234" t="s">
        <v>140</v>
      </c>
      <c r="BI234" t="s">
        <v>140</v>
      </c>
      <c r="BJ234" t="s">
        <v>140</v>
      </c>
      <c r="BK234" t="s">
        <v>140</v>
      </c>
      <c r="BL234" t="s">
        <v>140</v>
      </c>
      <c r="BM234" t="s">
        <v>140</v>
      </c>
      <c r="BN234" t="s">
        <v>140</v>
      </c>
      <c r="BO234" t="s">
        <v>140</v>
      </c>
      <c r="BP234" t="s">
        <v>140</v>
      </c>
      <c r="BQ234" t="s">
        <v>140</v>
      </c>
      <c r="BR234" t="s">
        <v>140</v>
      </c>
      <c r="BS234" t="s">
        <v>140</v>
      </c>
      <c r="BT234" t="s">
        <v>140</v>
      </c>
      <c r="BU234" t="s">
        <v>140</v>
      </c>
      <c r="BV234" t="s">
        <v>140</v>
      </c>
      <c r="BW234" t="s">
        <v>140</v>
      </c>
      <c r="BX234" t="s">
        <v>140</v>
      </c>
      <c r="BY234" t="s">
        <v>140</v>
      </c>
      <c r="BZ234" t="s">
        <v>140</v>
      </c>
      <c r="CA234" t="s">
        <v>140</v>
      </c>
      <c r="CB234" t="s">
        <v>140</v>
      </c>
      <c r="CC234" t="s">
        <v>140</v>
      </c>
      <c r="CD234" t="s">
        <v>140</v>
      </c>
      <c r="CE234" t="s">
        <v>140</v>
      </c>
      <c r="CF234" t="s">
        <v>140</v>
      </c>
      <c r="CG234" t="s">
        <v>140</v>
      </c>
      <c r="CH234" t="s">
        <v>140</v>
      </c>
      <c r="CI234" t="s">
        <v>140</v>
      </c>
      <c r="CJ234" t="s">
        <v>140</v>
      </c>
      <c r="CK234" t="s">
        <v>140</v>
      </c>
      <c r="CL234" t="s">
        <v>140</v>
      </c>
      <c r="CM234" t="s">
        <v>140</v>
      </c>
      <c r="CN234" t="s">
        <v>140</v>
      </c>
      <c r="CO234" t="s">
        <v>140</v>
      </c>
      <c r="CP234" t="s">
        <v>140</v>
      </c>
      <c r="CQ234" t="s">
        <v>140</v>
      </c>
      <c r="CR234" t="s">
        <v>140</v>
      </c>
      <c r="CS234" t="s">
        <v>140</v>
      </c>
      <c r="CT234" t="s">
        <v>140</v>
      </c>
      <c r="CU234" t="s">
        <v>140</v>
      </c>
      <c r="CV234" t="s">
        <v>140</v>
      </c>
      <c r="CW234" t="s">
        <v>140</v>
      </c>
      <c r="CX234" t="s">
        <v>140</v>
      </c>
      <c r="CY234" t="s">
        <v>140</v>
      </c>
      <c r="CZ234" t="s">
        <v>140</v>
      </c>
      <c r="DA234" t="s">
        <v>140</v>
      </c>
      <c r="DB234" t="s">
        <v>140</v>
      </c>
      <c r="DC234" s="1">
        <v>0</v>
      </c>
      <c r="DD234" s="1">
        <v>0</v>
      </c>
      <c r="DE234" s="1">
        <v>0</v>
      </c>
      <c r="DF234" s="1">
        <v>0</v>
      </c>
      <c r="DG234" s="1">
        <v>0</v>
      </c>
      <c r="DH234" s="1">
        <v>0</v>
      </c>
      <c r="DI234" s="1">
        <v>0</v>
      </c>
      <c r="DJ234" s="1">
        <v>0</v>
      </c>
      <c r="DK234" s="1">
        <v>0</v>
      </c>
      <c r="DL234" s="1">
        <v>0</v>
      </c>
      <c r="DM234" s="1">
        <v>0</v>
      </c>
      <c r="DN234" s="1">
        <v>0</v>
      </c>
      <c r="DO234" s="1">
        <v>0</v>
      </c>
      <c r="DP234" s="1">
        <v>0</v>
      </c>
      <c r="DQ234" s="1">
        <v>1.73</v>
      </c>
      <c r="DR234" s="1">
        <v>0.13</v>
      </c>
      <c r="DS234" s="1">
        <v>3.72</v>
      </c>
      <c r="DT234" s="1">
        <v>0.8</v>
      </c>
      <c r="DU234" s="1">
        <v>1.17</v>
      </c>
      <c r="DV234" s="1">
        <v>1.58</v>
      </c>
      <c r="DW234" s="1">
        <v>1.33</v>
      </c>
      <c r="DX234" s="1">
        <v>4.75</v>
      </c>
      <c r="DY234" s="1">
        <v>3.7</v>
      </c>
      <c r="DZ234" s="1">
        <v>0.22</v>
      </c>
      <c r="EA234" s="1">
        <v>1.26</v>
      </c>
      <c r="EB234" s="1">
        <v>4.59</v>
      </c>
      <c r="EC234" s="1">
        <v>0.57999999999999996</v>
      </c>
      <c r="ED234" s="1">
        <v>0</v>
      </c>
    </row>
    <row r="235" spans="1:134" x14ac:dyDescent="0.25">
      <c r="A235" t="s">
        <v>349</v>
      </c>
      <c r="B235" s="1">
        <v>5.51</v>
      </c>
      <c r="C235" s="1">
        <v>9.24</v>
      </c>
      <c r="D235" s="1">
        <v>8.15</v>
      </c>
      <c r="E235" s="1">
        <v>8.84</v>
      </c>
      <c r="F235" s="1">
        <v>8.02</v>
      </c>
      <c r="G235" s="1">
        <v>14.85</v>
      </c>
      <c r="H235" s="1">
        <v>7.56</v>
      </c>
      <c r="I235" s="1">
        <v>9.92</v>
      </c>
      <c r="J235" s="1">
        <v>3.67</v>
      </c>
      <c r="K235" s="1">
        <v>8.33</v>
      </c>
      <c r="L235" s="1">
        <v>1.66</v>
      </c>
      <c r="M235" s="1">
        <v>2.52</v>
      </c>
      <c r="N235" t="s">
        <v>141</v>
      </c>
      <c r="O235" t="s">
        <v>140</v>
      </c>
      <c r="P235" t="s">
        <v>140</v>
      </c>
      <c r="Q235" t="s">
        <v>140</v>
      </c>
      <c r="R235" t="s">
        <v>140</v>
      </c>
      <c r="S235" t="s">
        <v>140</v>
      </c>
      <c r="T235" t="s">
        <v>140</v>
      </c>
      <c r="U235" t="s">
        <v>140</v>
      </c>
      <c r="V235" t="s">
        <v>140</v>
      </c>
      <c r="W235" t="s">
        <v>140</v>
      </c>
      <c r="X235" t="s">
        <v>140</v>
      </c>
      <c r="Y235" t="s">
        <v>140</v>
      </c>
      <c r="Z235" t="s">
        <v>140</v>
      </c>
      <c r="AA235" t="s">
        <v>140</v>
      </c>
      <c r="AB235" t="s">
        <v>140</v>
      </c>
      <c r="AC235" t="s">
        <v>140</v>
      </c>
      <c r="AD235" t="s">
        <v>140</v>
      </c>
      <c r="AE235" t="s">
        <v>140</v>
      </c>
      <c r="AF235" t="s">
        <v>140</v>
      </c>
      <c r="AG235" t="s">
        <v>140</v>
      </c>
      <c r="AH235" t="s">
        <v>140</v>
      </c>
      <c r="AI235" t="s">
        <v>140</v>
      </c>
      <c r="AJ235" t="s">
        <v>140</v>
      </c>
      <c r="AK235" t="s">
        <v>140</v>
      </c>
      <c r="AL235" t="s">
        <v>140</v>
      </c>
      <c r="AM235" t="s">
        <v>140</v>
      </c>
      <c r="AN235" t="s">
        <v>140</v>
      </c>
      <c r="AO235" t="s">
        <v>140</v>
      </c>
      <c r="AP235" t="s">
        <v>140</v>
      </c>
      <c r="AQ235" t="s">
        <v>140</v>
      </c>
      <c r="AR235" t="s">
        <v>140</v>
      </c>
      <c r="AS235" t="s">
        <v>140</v>
      </c>
      <c r="AT235" t="s">
        <v>140</v>
      </c>
      <c r="AU235" t="s">
        <v>140</v>
      </c>
      <c r="AV235" t="s">
        <v>140</v>
      </c>
      <c r="AW235" t="s">
        <v>140</v>
      </c>
      <c r="AX235" t="s">
        <v>140</v>
      </c>
      <c r="AY235" t="s">
        <v>140</v>
      </c>
      <c r="AZ235" t="s">
        <v>140</v>
      </c>
      <c r="BA235" t="s">
        <v>140</v>
      </c>
      <c r="BB235" t="s">
        <v>140</v>
      </c>
      <c r="BC235" t="s">
        <v>140</v>
      </c>
      <c r="BD235" t="s">
        <v>140</v>
      </c>
      <c r="BE235" t="s">
        <v>140</v>
      </c>
      <c r="BF235" t="s">
        <v>140</v>
      </c>
      <c r="BG235" t="s">
        <v>140</v>
      </c>
      <c r="BH235" t="s">
        <v>140</v>
      </c>
      <c r="BI235" t="s">
        <v>140</v>
      </c>
      <c r="BJ235" t="s">
        <v>140</v>
      </c>
      <c r="BK235" t="s">
        <v>140</v>
      </c>
      <c r="BL235" t="s">
        <v>140</v>
      </c>
      <c r="BM235" t="s">
        <v>140</v>
      </c>
      <c r="BN235" t="s">
        <v>140</v>
      </c>
      <c r="BO235" t="s">
        <v>140</v>
      </c>
      <c r="BP235" t="s">
        <v>140</v>
      </c>
      <c r="BQ235" t="s">
        <v>140</v>
      </c>
      <c r="BR235" t="s">
        <v>140</v>
      </c>
      <c r="BS235" t="s">
        <v>140</v>
      </c>
      <c r="BT235" t="s">
        <v>140</v>
      </c>
      <c r="BU235" t="s">
        <v>140</v>
      </c>
      <c r="BV235" t="s">
        <v>140</v>
      </c>
      <c r="BW235" t="s">
        <v>140</v>
      </c>
      <c r="BX235" t="s">
        <v>140</v>
      </c>
      <c r="BY235" t="s">
        <v>140</v>
      </c>
      <c r="BZ235" t="s">
        <v>140</v>
      </c>
      <c r="CA235" t="s">
        <v>140</v>
      </c>
      <c r="CB235" t="s">
        <v>140</v>
      </c>
      <c r="CC235" t="s">
        <v>140</v>
      </c>
      <c r="CD235" t="s">
        <v>140</v>
      </c>
      <c r="CE235" t="s">
        <v>140</v>
      </c>
      <c r="CF235" t="s">
        <v>140</v>
      </c>
      <c r="CG235" t="s">
        <v>140</v>
      </c>
      <c r="CH235" t="s">
        <v>140</v>
      </c>
      <c r="CI235" t="s">
        <v>140</v>
      </c>
      <c r="CJ235" t="s">
        <v>140</v>
      </c>
      <c r="CK235" t="s">
        <v>140</v>
      </c>
      <c r="CL235" t="s">
        <v>140</v>
      </c>
      <c r="CM235" t="s">
        <v>140</v>
      </c>
      <c r="CN235" t="s">
        <v>140</v>
      </c>
      <c r="CO235" t="s">
        <v>140</v>
      </c>
      <c r="CP235" t="s">
        <v>140</v>
      </c>
      <c r="CQ235" t="s">
        <v>140</v>
      </c>
      <c r="CR235" t="s">
        <v>140</v>
      </c>
      <c r="CS235" t="s">
        <v>140</v>
      </c>
      <c r="CT235" t="s">
        <v>140</v>
      </c>
      <c r="CU235" t="s">
        <v>140</v>
      </c>
      <c r="CV235" t="s">
        <v>140</v>
      </c>
      <c r="CW235" t="s">
        <v>140</v>
      </c>
      <c r="CX235" t="s">
        <v>140</v>
      </c>
      <c r="CY235" t="s">
        <v>140</v>
      </c>
      <c r="CZ235" t="s">
        <v>140</v>
      </c>
      <c r="DA235" t="s">
        <v>140</v>
      </c>
      <c r="DB235" t="s">
        <v>140</v>
      </c>
      <c r="DC235" s="1">
        <v>0</v>
      </c>
      <c r="DD235" s="1">
        <v>0</v>
      </c>
      <c r="DE235" s="1">
        <v>0</v>
      </c>
      <c r="DF235" s="1">
        <v>0</v>
      </c>
      <c r="DG235" s="1">
        <v>0</v>
      </c>
      <c r="DH235" s="1">
        <v>0</v>
      </c>
      <c r="DI235" s="1">
        <v>5.7</v>
      </c>
      <c r="DJ235" s="1">
        <v>5.23</v>
      </c>
      <c r="DK235" s="1">
        <v>8.6</v>
      </c>
      <c r="DL235" s="1">
        <v>9.86</v>
      </c>
      <c r="DM235" s="1">
        <v>9.24</v>
      </c>
      <c r="DN235" s="1">
        <v>7.2</v>
      </c>
      <c r="DO235" s="1">
        <v>8.0299999999999994</v>
      </c>
      <c r="DP235" s="1">
        <v>9.5500000000000007</v>
      </c>
      <c r="DQ235" s="1">
        <v>9.01</v>
      </c>
      <c r="DR235" s="1">
        <v>7.14</v>
      </c>
      <c r="DS235" s="1">
        <v>10.5</v>
      </c>
      <c r="DT235" s="1">
        <v>19.22</v>
      </c>
      <c r="DU235" s="1">
        <v>12.12</v>
      </c>
      <c r="DV235" s="1">
        <v>3.36</v>
      </c>
      <c r="DW235" s="1">
        <v>8.91</v>
      </c>
      <c r="DX235" s="1">
        <v>10.86</v>
      </c>
      <c r="DY235" s="1">
        <v>2.95</v>
      </c>
      <c r="DZ235" s="1">
        <v>4.4000000000000004</v>
      </c>
      <c r="EA235" s="1">
        <v>7.95</v>
      </c>
      <c r="EB235" s="1">
        <v>6.86</v>
      </c>
      <c r="EC235" s="1">
        <v>2.17</v>
      </c>
      <c r="ED235" s="1">
        <v>2.86</v>
      </c>
    </row>
    <row r="236" spans="1:134" x14ac:dyDescent="0.25">
      <c r="A236" t="s">
        <v>350</v>
      </c>
      <c r="B236" s="1">
        <v>25.5</v>
      </c>
      <c r="C236" s="1">
        <v>-38.03</v>
      </c>
      <c r="D236" s="1">
        <v>116.16</v>
      </c>
      <c r="E236" s="1">
        <v>-18.63</v>
      </c>
      <c r="F236" s="1">
        <v>57.39</v>
      </c>
      <c r="G236" s="1">
        <v>-39.17</v>
      </c>
      <c r="H236" s="1">
        <v>10.29</v>
      </c>
      <c r="I236" s="1">
        <v>173.52</v>
      </c>
      <c r="J236" s="1">
        <v>-55.92</v>
      </c>
      <c r="K236" s="1">
        <v>-185.46</v>
      </c>
      <c r="L236" s="1">
        <v>106.98</v>
      </c>
      <c r="M236" s="1">
        <v>106.93</v>
      </c>
      <c r="N236" t="s">
        <v>141</v>
      </c>
      <c r="O236" t="s">
        <v>140</v>
      </c>
      <c r="P236" t="s">
        <v>140</v>
      </c>
      <c r="Q236" t="s">
        <v>140</v>
      </c>
      <c r="R236" t="s">
        <v>140</v>
      </c>
      <c r="S236" t="s">
        <v>140</v>
      </c>
      <c r="T236" t="s">
        <v>140</v>
      </c>
      <c r="U236" t="s">
        <v>140</v>
      </c>
      <c r="V236" t="s">
        <v>140</v>
      </c>
      <c r="W236" t="s">
        <v>140</v>
      </c>
      <c r="X236" t="s">
        <v>140</v>
      </c>
      <c r="Y236" t="s">
        <v>140</v>
      </c>
      <c r="Z236" t="s">
        <v>140</v>
      </c>
      <c r="AA236" t="s">
        <v>140</v>
      </c>
      <c r="AB236" t="s">
        <v>140</v>
      </c>
      <c r="AC236" t="s">
        <v>140</v>
      </c>
      <c r="AD236" t="s">
        <v>140</v>
      </c>
      <c r="AE236" t="s">
        <v>140</v>
      </c>
      <c r="AF236" t="s">
        <v>140</v>
      </c>
      <c r="AG236" t="s">
        <v>140</v>
      </c>
      <c r="AH236" t="s">
        <v>140</v>
      </c>
      <c r="AI236" t="s">
        <v>140</v>
      </c>
      <c r="AJ236" t="s">
        <v>140</v>
      </c>
      <c r="AK236" t="s">
        <v>140</v>
      </c>
      <c r="AL236" t="s">
        <v>140</v>
      </c>
      <c r="AM236" t="s">
        <v>140</v>
      </c>
      <c r="AN236" t="s">
        <v>140</v>
      </c>
      <c r="AO236" t="s">
        <v>140</v>
      </c>
      <c r="AP236" t="s">
        <v>140</v>
      </c>
      <c r="AQ236" t="s">
        <v>140</v>
      </c>
      <c r="AR236" t="s">
        <v>140</v>
      </c>
      <c r="AS236" t="s">
        <v>140</v>
      </c>
      <c r="AT236" t="s">
        <v>140</v>
      </c>
      <c r="AU236" t="s">
        <v>140</v>
      </c>
      <c r="AV236" t="s">
        <v>140</v>
      </c>
      <c r="AW236" t="s">
        <v>140</v>
      </c>
      <c r="AX236" t="s">
        <v>140</v>
      </c>
      <c r="AY236" t="s">
        <v>140</v>
      </c>
      <c r="AZ236" t="s">
        <v>140</v>
      </c>
      <c r="BA236" t="s">
        <v>140</v>
      </c>
      <c r="BB236" t="s">
        <v>140</v>
      </c>
      <c r="BC236" t="s">
        <v>140</v>
      </c>
      <c r="BD236" t="s">
        <v>140</v>
      </c>
      <c r="BE236" t="s">
        <v>140</v>
      </c>
      <c r="BF236" t="s">
        <v>140</v>
      </c>
      <c r="BG236" t="s">
        <v>140</v>
      </c>
      <c r="BH236" t="s">
        <v>140</v>
      </c>
      <c r="BI236" t="s">
        <v>140</v>
      </c>
      <c r="BJ236" t="s">
        <v>140</v>
      </c>
      <c r="BK236" t="s">
        <v>140</v>
      </c>
      <c r="BL236" t="s">
        <v>140</v>
      </c>
      <c r="BM236" t="s">
        <v>140</v>
      </c>
      <c r="BN236" t="s">
        <v>140</v>
      </c>
      <c r="BO236" t="s">
        <v>140</v>
      </c>
      <c r="BP236" t="s">
        <v>140</v>
      </c>
      <c r="BQ236" t="s">
        <v>140</v>
      </c>
      <c r="BR236" t="s">
        <v>140</v>
      </c>
      <c r="BS236" t="s">
        <v>140</v>
      </c>
      <c r="BT236" t="s">
        <v>140</v>
      </c>
      <c r="BU236" t="s">
        <v>140</v>
      </c>
      <c r="BV236" t="s">
        <v>140</v>
      </c>
      <c r="BW236" t="s">
        <v>140</v>
      </c>
      <c r="BX236" t="s">
        <v>140</v>
      </c>
      <c r="BY236" t="s">
        <v>140</v>
      </c>
      <c r="BZ236" t="s">
        <v>140</v>
      </c>
      <c r="CA236" t="s">
        <v>140</v>
      </c>
      <c r="CB236" t="s">
        <v>140</v>
      </c>
      <c r="CC236" t="s">
        <v>140</v>
      </c>
      <c r="CD236" t="s">
        <v>140</v>
      </c>
      <c r="CE236" t="s">
        <v>140</v>
      </c>
      <c r="CF236" t="s">
        <v>140</v>
      </c>
      <c r="CG236" t="s">
        <v>140</v>
      </c>
      <c r="CH236" t="s">
        <v>140</v>
      </c>
      <c r="CI236" t="s">
        <v>140</v>
      </c>
      <c r="CJ236" t="s">
        <v>140</v>
      </c>
      <c r="CK236" t="s">
        <v>140</v>
      </c>
      <c r="CL236" t="s">
        <v>140</v>
      </c>
      <c r="CM236" t="s">
        <v>140</v>
      </c>
      <c r="CN236" t="s">
        <v>140</v>
      </c>
      <c r="CO236" t="s">
        <v>140</v>
      </c>
      <c r="CP236" t="s">
        <v>140</v>
      </c>
      <c r="CQ236" t="s">
        <v>140</v>
      </c>
      <c r="CR236" t="s">
        <v>140</v>
      </c>
      <c r="CS236" t="s">
        <v>140</v>
      </c>
      <c r="CT236" t="s">
        <v>140</v>
      </c>
      <c r="CU236" t="s">
        <v>140</v>
      </c>
      <c r="CV236" t="s">
        <v>140</v>
      </c>
      <c r="CW236" t="s">
        <v>140</v>
      </c>
      <c r="CX236" t="s">
        <v>140</v>
      </c>
      <c r="CY236" t="s">
        <v>140</v>
      </c>
      <c r="CZ236" t="s">
        <v>140</v>
      </c>
      <c r="DA236" t="s">
        <v>140</v>
      </c>
      <c r="DB236" t="s">
        <v>140</v>
      </c>
      <c r="DC236" s="1">
        <v>0</v>
      </c>
      <c r="DD236" s="1">
        <v>0</v>
      </c>
      <c r="DE236" s="1">
        <v>0</v>
      </c>
      <c r="DF236" s="1">
        <v>0</v>
      </c>
      <c r="DG236" s="1">
        <v>0</v>
      </c>
      <c r="DH236" s="1">
        <v>0</v>
      </c>
      <c r="DI236" s="1">
        <v>-0.3</v>
      </c>
      <c r="DJ236" s="1">
        <v>40.47</v>
      </c>
      <c r="DK236" s="1">
        <v>3.98</v>
      </c>
      <c r="DL236" s="1">
        <v>-55.53</v>
      </c>
      <c r="DM236" s="1">
        <v>77.03</v>
      </c>
      <c r="DN236" s="1">
        <v>154.84</v>
      </c>
      <c r="DO236" s="1">
        <v>-16.760000000000002</v>
      </c>
      <c r="DP236" s="1">
        <v>-19.89</v>
      </c>
      <c r="DQ236" s="1">
        <v>139.29</v>
      </c>
      <c r="DR236" s="1">
        <v>0.45</v>
      </c>
      <c r="DS236" s="1">
        <v>-52.51</v>
      </c>
      <c r="DT236" s="1">
        <v>-17.3</v>
      </c>
      <c r="DU236" s="1">
        <v>-24.29</v>
      </c>
      <c r="DV236" s="1">
        <v>43.48</v>
      </c>
      <c r="DW236" s="1">
        <v>106.79</v>
      </c>
      <c r="DX236" s="1">
        <v>207.01</v>
      </c>
      <c r="DY236" s="1">
        <v>-21.35</v>
      </c>
      <c r="DZ236" s="1">
        <v>-67.61</v>
      </c>
      <c r="EA236" s="1">
        <v>-27.15</v>
      </c>
      <c r="EB236" s="1">
        <v>-316.57</v>
      </c>
      <c r="EC236" s="1">
        <v>-163.38</v>
      </c>
      <c r="ED236" s="1">
        <v>122.52</v>
      </c>
    </row>
    <row r="237" spans="1:134" x14ac:dyDescent="0.25">
      <c r="A237" t="s">
        <v>351</v>
      </c>
      <c r="B237" s="1">
        <v>23.02</v>
      </c>
      <c r="C237" s="1">
        <v>-36.67</v>
      </c>
      <c r="D237" s="1">
        <v>107.6</v>
      </c>
      <c r="E237" s="1">
        <v>-17.45</v>
      </c>
      <c r="F237" s="1">
        <v>54.57</v>
      </c>
      <c r="G237" s="1">
        <v>-36.69</v>
      </c>
      <c r="H237" s="1">
        <v>10.95</v>
      </c>
      <c r="I237" s="1">
        <v>161.41999999999999</v>
      </c>
      <c r="J237" s="1">
        <v>-53.79</v>
      </c>
      <c r="K237" s="1">
        <v>-171.24</v>
      </c>
      <c r="L237" s="1">
        <v>118.02</v>
      </c>
      <c r="M237" s="1">
        <v>116.85</v>
      </c>
      <c r="N237" t="s">
        <v>141</v>
      </c>
      <c r="O237" t="s">
        <v>140</v>
      </c>
      <c r="P237" t="s">
        <v>140</v>
      </c>
      <c r="Q237" t="s">
        <v>140</v>
      </c>
      <c r="R237" t="s">
        <v>140</v>
      </c>
      <c r="S237" t="s">
        <v>140</v>
      </c>
      <c r="T237" t="s">
        <v>140</v>
      </c>
      <c r="U237" t="s">
        <v>140</v>
      </c>
      <c r="V237" t="s">
        <v>140</v>
      </c>
      <c r="W237" t="s">
        <v>140</v>
      </c>
      <c r="X237" t="s">
        <v>140</v>
      </c>
      <c r="Y237" t="s">
        <v>140</v>
      </c>
      <c r="Z237" t="s">
        <v>140</v>
      </c>
      <c r="AA237" t="s">
        <v>140</v>
      </c>
      <c r="AB237" t="s">
        <v>140</v>
      </c>
      <c r="AC237" t="s">
        <v>140</v>
      </c>
      <c r="AD237" t="s">
        <v>140</v>
      </c>
      <c r="AE237" t="s">
        <v>140</v>
      </c>
      <c r="AF237" t="s">
        <v>140</v>
      </c>
      <c r="AG237" t="s">
        <v>140</v>
      </c>
      <c r="AH237" t="s">
        <v>140</v>
      </c>
      <c r="AI237" t="s">
        <v>140</v>
      </c>
      <c r="AJ237" t="s">
        <v>140</v>
      </c>
      <c r="AK237" t="s">
        <v>140</v>
      </c>
      <c r="AL237" t="s">
        <v>140</v>
      </c>
      <c r="AM237" t="s">
        <v>140</v>
      </c>
      <c r="AN237" t="s">
        <v>140</v>
      </c>
      <c r="AO237" t="s">
        <v>140</v>
      </c>
      <c r="AP237" t="s">
        <v>140</v>
      </c>
      <c r="AQ237" t="s">
        <v>140</v>
      </c>
      <c r="AR237" t="s">
        <v>140</v>
      </c>
      <c r="AS237" t="s">
        <v>140</v>
      </c>
      <c r="AT237" t="s">
        <v>140</v>
      </c>
      <c r="AU237" t="s">
        <v>140</v>
      </c>
      <c r="AV237" t="s">
        <v>140</v>
      </c>
      <c r="AW237" t="s">
        <v>140</v>
      </c>
      <c r="AX237" t="s">
        <v>140</v>
      </c>
      <c r="AY237" t="s">
        <v>140</v>
      </c>
      <c r="AZ237" t="s">
        <v>140</v>
      </c>
      <c r="BA237" t="s">
        <v>140</v>
      </c>
      <c r="BB237" t="s">
        <v>140</v>
      </c>
      <c r="BC237" t="s">
        <v>140</v>
      </c>
      <c r="BD237" t="s">
        <v>140</v>
      </c>
      <c r="BE237" t="s">
        <v>140</v>
      </c>
      <c r="BF237" t="s">
        <v>140</v>
      </c>
      <c r="BG237" t="s">
        <v>140</v>
      </c>
      <c r="BH237" t="s">
        <v>140</v>
      </c>
      <c r="BI237" t="s">
        <v>140</v>
      </c>
      <c r="BJ237" t="s">
        <v>140</v>
      </c>
      <c r="BK237" t="s">
        <v>140</v>
      </c>
      <c r="BL237" t="s">
        <v>140</v>
      </c>
      <c r="BM237" t="s">
        <v>140</v>
      </c>
      <c r="BN237" t="s">
        <v>140</v>
      </c>
      <c r="BO237" t="s">
        <v>140</v>
      </c>
      <c r="BP237" t="s">
        <v>140</v>
      </c>
      <c r="BQ237" t="s">
        <v>140</v>
      </c>
      <c r="BR237" t="s">
        <v>140</v>
      </c>
      <c r="BS237" t="s">
        <v>140</v>
      </c>
      <c r="BT237" t="s">
        <v>140</v>
      </c>
      <c r="BU237" t="s">
        <v>140</v>
      </c>
      <c r="BV237" t="s">
        <v>140</v>
      </c>
      <c r="BW237" t="s">
        <v>140</v>
      </c>
      <c r="BX237" t="s">
        <v>140</v>
      </c>
      <c r="BY237" t="s">
        <v>140</v>
      </c>
      <c r="BZ237" t="s">
        <v>140</v>
      </c>
      <c r="CA237" t="s">
        <v>140</v>
      </c>
      <c r="CB237" t="s">
        <v>140</v>
      </c>
      <c r="CC237" t="s">
        <v>140</v>
      </c>
      <c r="CD237" t="s">
        <v>140</v>
      </c>
      <c r="CE237" t="s">
        <v>140</v>
      </c>
      <c r="CF237" t="s">
        <v>140</v>
      </c>
      <c r="CG237" t="s">
        <v>140</v>
      </c>
      <c r="CH237" t="s">
        <v>140</v>
      </c>
      <c r="CI237" t="s">
        <v>140</v>
      </c>
      <c r="CJ237" t="s">
        <v>140</v>
      </c>
      <c r="CK237" t="s">
        <v>140</v>
      </c>
      <c r="CL237" t="s">
        <v>140</v>
      </c>
      <c r="CM237" t="s">
        <v>140</v>
      </c>
      <c r="CN237" t="s">
        <v>140</v>
      </c>
      <c r="CO237" t="s">
        <v>140</v>
      </c>
      <c r="CP237" t="s">
        <v>140</v>
      </c>
      <c r="CQ237" t="s">
        <v>140</v>
      </c>
      <c r="CR237" t="s">
        <v>140</v>
      </c>
      <c r="CS237" t="s">
        <v>140</v>
      </c>
      <c r="CT237" t="s">
        <v>140</v>
      </c>
      <c r="CU237" t="s">
        <v>140</v>
      </c>
      <c r="CV237" t="s">
        <v>140</v>
      </c>
      <c r="CW237" t="s">
        <v>140</v>
      </c>
      <c r="CX237" t="s">
        <v>140</v>
      </c>
      <c r="CY237" t="s">
        <v>140</v>
      </c>
      <c r="CZ237" t="s">
        <v>140</v>
      </c>
      <c r="DA237" t="s">
        <v>140</v>
      </c>
      <c r="DB237" t="s">
        <v>140</v>
      </c>
      <c r="DC237" s="1">
        <v>0</v>
      </c>
      <c r="DD237" s="1">
        <v>0</v>
      </c>
      <c r="DE237" s="1">
        <v>0</v>
      </c>
      <c r="DF237" s="1">
        <v>0</v>
      </c>
      <c r="DG237" s="1">
        <v>0</v>
      </c>
      <c r="DH237" s="1">
        <v>0</v>
      </c>
      <c r="DI237" s="1">
        <v>-11.86</v>
      </c>
      <c r="DJ237" s="1">
        <v>48.63</v>
      </c>
      <c r="DK237" s="1">
        <v>3.26</v>
      </c>
      <c r="DL237" s="1">
        <v>-54.17</v>
      </c>
      <c r="DM237" s="1">
        <v>69.41</v>
      </c>
      <c r="DN237" s="1">
        <v>145.57</v>
      </c>
      <c r="DO237" s="1">
        <v>-15.4</v>
      </c>
      <c r="DP237" s="1">
        <v>-18.8</v>
      </c>
      <c r="DQ237" s="1">
        <v>129.91999999999999</v>
      </c>
      <c r="DR237" s="1">
        <v>0.97</v>
      </c>
      <c r="DS237" s="1">
        <v>-50.11</v>
      </c>
      <c r="DT237" s="1">
        <v>-14.85</v>
      </c>
      <c r="DU237" s="1">
        <v>-20.79</v>
      </c>
      <c r="DV237" s="1">
        <v>41.29</v>
      </c>
      <c r="DW237" s="1">
        <v>94.02</v>
      </c>
      <c r="DX237" s="1">
        <v>198.13</v>
      </c>
      <c r="DY237" s="1">
        <v>-17.66</v>
      </c>
      <c r="DZ237" s="1">
        <v>-66.45</v>
      </c>
      <c r="EA237" s="1">
        <v>-24.24</v>
      </c>
      <c r="EB237" s="1">
        <v>-299.52</v>
      </c>
      <c r="EC237" s="1">
        <v>-144.56</v>
      </c>
      <c r="ED237" s="1">
        <v>125.79</v>
      </c>
    </row>
    <row r="238" spans="1:134" x14ac:dyDescent="0.25">
      <c r="A238" t="s">
        <v>352</v>
      </c>
      <c r="B238" s="1">
        <v>34.47</v>
      </c>
      <c r="C238" s="1">
        <v>22.11</v>
      </c>
      <c r="D238" s="1">
        <v>33</v>
      </c>
      <c r="E238" s="1">
        <v>34.64</v>
      </c>
      <c r="F238" s="1">
        <v>14.04</v>
      </c>
      <c r="G238" s="1">
        <v>9.0500000000000007</v>
      </c>
      <c r="H238" s="1">
        <v>8.64</v>
      </c>
      <c r="I238" s="1">
        <v>12.26</v>
      </c>
      <c r="J238" s="1">
        <v>9.84</v>
      </c>
      <c r="K238" s="1">
        <v>0</v>
      </c>
      <c r="L238" s="1">
        <v>0</v>
      </c>
      <c r="M238" s="1">
        <v>0</v>
      </c>
      <c r="N238" t="s">
        <v>141</v>
      </c>
      <c r="O238" t="s">
        <v>140</v>
      </c>
      <c r="P238" t="s">
        <v>140</v>
      </c>
      <c r="Q238" t="s">
        <v>140</v>
      </c>
      <c r="R238" t="s">
        <v>140</v>
      </c>
      <c r="S238" t="s">
        <v>140</v>
      </c>
      <c r="T238" t="s">
        <v>140</v>
      </c>
      <c r="U238" t="s">
        <v>140</v>
      </c>
      <c r="V238" t="s">
        <v>140</v>
      </c>
      <c r="W238" t="s">
        <v>140</v>
      </c>
      <c r="X238" t="s">
        <v>140</v>
      </c>
      <c r="Y238" t="s">
        <v>140</v>
      </c>
      <c r="Z238" t="s">
        <v>140</v>
      </c>
      <c r="AA238" t="s">
        <v>140</v>
      </c>
      <c r="AB238" t="s">
        <v>140</v>
      </c>
      <c r="AC238" t="s">
        <v>140</v>
      </c>
      <c r="AD238" t="s">
        <v>140</v>
      </c>
      <c r="AE238" t="s">
        <v>140</v>
      </c>
      <c r="AF238" t="s">
        <v>140</v>
      </c>
      <c r="AG238" t="s">
        <v>140</v>
      </c>
      <c r="AH238" t="s">
        <v>140</v>
      </c>
      <c r="AI238" t="s">
        <v>140</v>
      </c>
      <c r="AJ238" t="s">
        <v>140</v>
      </c>
      <c r="AK238" t="s">
        <v>140</v>
      </c>
      <c r="AL238" t="s">
        <v>140</v>
      </c>
      <c r="AM238" t="s">
        <v>140</v>
      </c>
      <c r="AN238" t="s">
        <v>140</v>
      </c>
      <c r="AO238" t="s">
        <v>140</v>
      </c>
      <c r="AP238" t="s">
        <v>140</v>
      </c>
      <c r="AQ238" t="s">
        <v>140</v>
      </c>
      <c r="AR238" t="s">
        <v>140</v>
      </c>
      <c r="AS238" t="s">
        <v>140</v>
      </c>
      <c r="AT238" t="s">
        <v>140</v>
      </c>
      <c r="AU238" t="s">
        <v>140</v>
      </c>
      <c r="AV238" t="s">
        <v>140</v>
      </c>
      <c r="AW238" t="s">
        <v>140</v>
      </c>
      <c r="AX238" t="s">
        <v>140</v>
      </c>
      <c r="AY238" t="s">
        <v>140</v>
      </c>
      <c r="AZ238" t="s">
        <v>140</v>
      </c>
      <c r="BA238" t="s">
        <v>140</v>
      </c>
      <c r="BB238" t="s">
        <v>140</v>
      </c>
      <c r="BC238" t="s">
        <v>140</v>
      </c>
      <c r="BD238" t="s">
        <v>140</v>
      </c>
      <c r="BE238" t="s">
        <v>140</v>
      </c>
      <c r="BF238" t="s">
        <v>140</v>
      </c>
      <c r="BG238" t="s">
        <v>140</v>
      </c>
      <c r="BH238" t="s">
        <v>140</v>
      </c>
      <c r="BI238" t="s">
        <v>140</v>
      </c>
      <c r="BJ238" t="s">
        <v>140</v>
      </c>
      <c r="BK238" t="s">
        <v>140</v>
      </c>
      <c r="BL238" t="s">
        <v>140</v>
      </c>
      <c r="BM238" t="s">
        <v>140</v>
      </c>
      <c r="BN238" t="s">
        <v>140</v>
      </c>
      <c r="BO238" t="s">
        <v>140</v>
      </c>
      <c r="BP238" t="s">
        <v>140</v>
      </c>
      <c r="BQ238" t="s">
        <v>140</v>
      </c>
      <c r="BR238" t="s">
        <v>140</v>
      </c>
      <c r="BS238" t="s">
        <v>140</v>
      </c>
      <c r="BT238" t="s">
        <v>140</v>
      </c>
      <c r="BU238" t="s">
        <v>140</v>
      </c>
      <c r="BV238" t="s">
        <v>140</v>
      </c>
      <c r="BW238" t="s">
        <v>140</v>
      </c>
      <c r="BX238" t="s">
        <v>140</v>
      </c>
      <c r="BY238" t="s">
        <v>140</v>
      </c>
      <c r="BZ238" t="s">
        <v>140</v>
      </c>
      <c r="CA238" t="s">
        <v>140</v>
      </c>
      <c r="CB238" t="s">
        <v>140</v>
      </c>
      <c r="CC238" t="s">
        <v>140</v>
      </c>
      <c r="CD238" t="s">
        <v>140</v>
      </c>
      <c r="CE238" t="s">
        <v>140</v>
      </c>
      <c r="CF238" t="s">
        <v>140</v>
      </c>
      <c r="CG238" t="s">
        <v>140</v>
      </c>
      <c r="CH238" t="s">
        <v>140</v>
      </c>
      <c r="CI238" t="s">
        <v>140</v>
      </c>
      <c r="CJ238" t="s">
        <v>140</v>
      </c>
      <c r="CK238" t="s">
        <v>140</v>
      </c>
      <c r="CL238" t="s">
        <v>140</v>
      </c>
      <c r="CM238" t="s">
        <v>140</v>
      </c>
      <c r="CN238" t="s">
        <v>140</v>
      </c>
      <c r="CO238" t="s">
        <v>140</v>
      </c>
      <c r="CP238" t="s">
        <v>140</v>
      </c>
      <c r="CQ238" t="s">
        <v>140</v>
      </c>
      <c r="CR238" t="s">
        <v>140</v>
      </c>
      <c r="CS238" t="s">
        <v>140</v>
      </c>
      <c r="CT238" t="s">
        <v>140</v>
      </c>
      <c r="CU238" t="s">
        <v>140</v>
      </c>
      <c r="CV238" t="s">
        <v>140</v>
      </c>
      <c r="CW238" t="s">
        <v>140</v>
      </c>
      <c r="CX238" t="s">
        <v>140</v>
      </c>
      <c r="CY238" t="s">
        <v>140</v>
      </c>
      <c r="CZ238" t="s">
        <v>140</v>
      </c>
      <c r="DA238" t="s">
        <v>140</v>
      </c>
      <c r="DB238" t="s">
        <v>140</v>
      </c>
      <c r="DC238" s="1">
        <v>0</v>
      </c>
      <c r="DD238" s="1">
        <v>0</v>
      </c>
      <c r="DE238" s="1">
        <v>0</v>
      </c>
      <c r="DF238" s="1">
        <v>0</v>
      </c>
      <c r="DG238" s="1">
        <v>0</v>
      </c>
      <c r="DH238" s="1">
        <v>0</v>
      </c>
      <c r="DI238" s="1">
        <v>0</v>
      </c>
      <c r="DJ238" s="1">
        <v>34.47</v>
      </c>
      <c r="DK238" s="1">
        <v>0</v>
      </c>
      <c r="DL238" s="1">
        <v>22.11</v>
      </c>
      <c r="DM238" s="1">
        <v>0</v>
      </c>
      <c r="DN238" s="1">
        <v>33</v>
      </c>
      <c r="DO238" s="1">
        <v>0</v>
      </c>
      <c r="DP238" s="1">
        <v>34.64</v>
      </c>
      <c r="DQ238" s="1">
        <v>0</v>
      </c>
      <c r="DR238" s="1">
        <v>14.04</v>
      </c>
      <c r="DS238" s="1">
        <v>0</v>
      </c>
      <c r="DT238" s="1">
        <v>9.0500000000000007</v>
      </c>
      <c r="DU238" s="1">
        <v>0</v>
      </c>
      <c r="DV238" s="1">
        <v>8.64</v>
      </c>
      <c r="DW238" s="1">
        <v>0</v>
      </c>
      <c r="DX238" s="1">
        <v>12.26</v>
      </c>
      <c r="DY238" s="1">
        <v>0</v>
      </c>
      <c r="DZ238" s="1">
        <v>9.84</v>
      </c>
      <c r="EA238" s="1">
        <v>0</v>
      </c>
      <c r="EB238" s="1">
        <v>0</v>
      </c>
      <c r="EC238" s="1">
        <v>0</v>
      </c>
      <c r="ED238" s="1">
        <v>0</v>
      </c>
    </row>
    <row r="239" spans="1:134" x14ac:dyDescent="0.25">
      <c r="A239" t="s">
        <v>353</v>
      </c>
      <c r="B239" s="1">
        <v>2215.1579999999999</v>
      </c>
      <c r="C239" s="1">
        <v>2246.88</v>
      </c>
      <c r="D239" s="1">
        <v>2277.9180000000001</v>
      </c>
      <c r="E239" s="1">
        <v>2303.2979999999998</v>
      </c>
      <c r="F239" s="1">
        <v>2301.1060000000002</v>
      </c>
      <c r="G239" s="1">
        <v>2267.3310000000001</v>
      </c>
      <c r="H239" s="1">
        <v>2232.3739999999998</v>
      </c>
      <c r="I239" s="1">
        <v>2199.5590000000002</v>
      </c>
      <c r="J239" s="1">
        <v>2125.8519999999999</v>
      </c>
      <c r="K239" s="1">
        <v>2096.2440000000001</v>
      </c>
      <c r="L239" s="1">
        <v>2066.8809999999999</v>
      </c>
      <c r="M239" s="1">
        <v>2072.4349999999999</v>
      </c>
      <c r="N239" t="s">
        <v>141</v>
      </c>
      <c r="O239" t="s">
        <v>140</v>
      </c>
      <c r="P239" t="s">
        <v>140</v>
      </c>
      <c r="Q239" t="s">
        <v>140</v>
      </c>
      <c r="R239" t="s">
        <v>140</v>
      </c>
      <c r="S239" t="s">
        <v>140</v>
      </c>
      <c r="T239" t="s">
        <v>140</v>
      </c>
      <c r="U239" t="s">
        <v>140</v>
      </c>
      <c r="V239" t="s">
        <v>140</v>
      </c>
      <c r="W239" t="s">
        <v>140</v>
      </c>
      <c r="X239" t="s">
        <v>140</v>
      </c>
      <c r="Y239" t="s">
        <v>140</v>
      </c>
      <c r="Z239" t="s">
        <v>140</v>
      </c>
      <c r="AA239" t="s">
        <v>140</v>
      </c>
      <c r="AB239" t="s">
        <v>140</v>
      </c>
      <c r="AC239" t="s">
        <v>140</v>
      </c>
      <c r="AD239" t="s">
        <v>140</v>
      </c>
      <c r="AE239" t="s">
        <v>140</v>
      </c>
      <c r="AF239" t="s">
        <v>140</v>
      </c>
      <c r="AG239" t="s">
        <v>140</v>
      </c>
      <c r="AH239" t="s">
        <v>140</v>
      </c>
      <c r="AI239" t="s">
        <v>140</v>
      </c>
      <c r="AJ239" t="s">
        <v>140</v>
      </c>
      <c r="AK239" t="s">
        <v>140</v>
      </c>
      <c r="AL239" t="s">
        <v>140</v>
      </c>
      <c r="AM239" t="s">
        <v>140</v>
      </c>
      <c r="AN239" t="s">
        <v>140</v>
      </c>
      <c r="AO239" t="s">
        <v>140</v>
      </c>
      <c r="AP239" t="s">
        <v>140</v>
      </c>
      <c r="AQ239" t="s">
        <v>140</v>
      </c>
      <c r="AR239" t="s">
        <v>140</v>
      </c>
      <c r="AS239" t="s">
        <v>140</v>
      </c>
      <c r="AT239" t="s">
        <v>140</v>
      </c>
      <c r="AU239" t="s">
        <v>140</v>
      </c>
      <c r="AV239" t="s">
        <v>140</v>
      </c>
      <c r="AW239" t="s">
        <v>140</v>
      </c>
      <c r="AX239" t="s">
        <v>140</v>
      </c>
      <c r="AY239" t="s">
        <v>140</v>
      </c>
      <c r="AZ239" t="s">
        <v>140</v>
      </c>
      <c r="BA239" t="s">
        <v>140</v>
      </c>
      <c r="BB239" t="s">
        <v>140</v>
      </c>
      <c r="BC239" t="s">
        <v>140</v>
      </c>
      <c r="BD239" t="s">
        <v>140</v>
      </c>
      <c r="BE239" t="s">
        <v>140</v>
      </c>
      <c r="BF239" t="s">
        <v>140</v>
      </c>
      <c r="BG239" t="s">
        <v>140</v>
      </c>
      <c r="BH239" t="s">
        <v>140</v>
      </c>
      <c r="BI239" t="s">
        <v>140</v>
      </c>
      <c r="BJ239" t="s">
        <v>140</v>
      </c>
      <c r="BK239" t="s">
        <v>140</v>
      </c>
      <c r="BL239" t="s">
        <v>140</v>
      </c>
      <c r="BM239" t="s">
        <v>140</v>
      </c>
      <c r="BN239" t="s">
        <v>140</v>
      </c>
      <c r="BO239" t="s">
        <v>140</v>
      </c>
      <c r="BP239" t="s">
        <v>140</v>
      </c>
      <c r="BQ239" t="s">
        <v>140</v>
      </c>
      <c r="BR239" t="s">
        <v>140</v>
      </c>
      <c r="BS239" t="s">
        <v>140</v>
      </c>
      <c r="BT239" t="s">
        <v>140</v>
      </c>
      <c r="BU239" t="s">
        <v>140</v>
      </c>
      <c r="BV239" t="s">
        <v>140</v>
      </c>
      <c r="BW239" t="s">
        <v>140</v>
      </c>
      <c r="BX239" t="s">
        <v>140</v>
      </c>
      <c r="BY239" t="s">
        <v>140</v>
      </c>
      <c r="BZ239" t="s">
        <v>140</v>
      </c>
      <c r="CA239" t="s">
        <v>140</v>
      </c>
      <c r="CB239" t="s">
        <v>140</v>
      </c>
      <c r="CC239" t="s">
        <v>140</v>
      </c>
      <c r="CD239" t="s">
        <v>140</v>
      </c>
      <c r="CE239" t="s">
        <v>140</v>
      </c>
      <c r="CF239" t="s">
        <v>140</v>
      </c>
      <c r="CG239" t="s">
        <v>140</v>
      </c>
      <c r="CH239" t="s">
        <v>140</v>
      </c>
      <c r="CI239" t="s">
        <v>140</v>
      </c>
      <c r="CJ239" t="s">
        <v>140</v>
      </c>
      <c r="CK239" t="s">
        <v>140</v>
      </c>
      <c r="CL239" t="s">
        <v>140</v>
      </c>
      <c r="CM239" t="s">
        <v>140</v>
      </c>
      <c r="CN239" t="s">
        <v>140</v>
      </c>
      <c r="CO239" t="s">
        <v>140</v>
      </c>
      <c r="CP239" t="s">
        <v>140</v>
      </c>
      <c r="CQ239" t="s">
        <v>140</v>
      </c>
      <c r="CR239" t="s">
        <v>140</v>
      </c>
      <c r="CS239" t="s">
        <v>140</v>
      </c>
      <c r="CT239" t="s">
        <v>140</v>
      </c>
      <c r="CU239" t="s">
        <v>140</v>
      </c>
      <c r="CV239" t="s">
        <v>140</v>
      </c>
      <c r="CW239" t="s">
        <v>140</v>
      </c>
      <c r="CX239" t="s">
        <v>140</v>
      </c>
      <c r="CY239" t="s">
        <v>140</v>
      </c>
      <c r="CZ239" t="s">
        <v>140</v>
      </c>
      <c r="DA239" t="s">
        <v>140</v>
      </c>
      <c r="DB239" t="s">
        <v>140</v>
      </c>
      <c r="DC239" s="1">
        <v>2190.527</v>
      </c>
      <c r="DD239" s="1">
        <v>2190.527</v>
      </c>
      <c r="DE239" s="1">
        <v>2212.2779999999998</v>
      </c>
      <c r="DF239" s="1">
        <v>2216.16</v>
      </c>
      <c r="DG239" s="1">
        <v>2170.2890000000002</v>
      </c>
      <c r="DH239" s="1">
        <v>2188.3789999999999</v>
      </c>
      <c r="DI239" s="1">
        <v>2207.1190000000001</v>
      </c>
      <c r="DJ239" s="1">
        <v>2223.1979999999999</v>
      </c>
      <c r="DK239" s="1">
        <v>2238.6819999999998</v>
      </c>
      <c r="DL239" s="1">
        <v>2255.0770000000002</v>
      </c>
      <c r="DM239" s="1">
        <v>2269.87</v>
      </c>
      <c r="DN239" s="1">
        <v>2285.9670000000001</v>
      </c>
      <c r="DO239" s="1">
        <v>2295.748</v>
      </c>
      <c r="DP239" s="1">
        <v>2310.848</v>
      </c>
      <c r="DQ239" s="1">
        <v>2309.5619999999999</v>
      </c>
      <c r="DR239" s="1">
        <v>2292.65</v>
      </c>
      <c r="DS239" s="1">
        <v>2284.3560000000002</v>
      </c>
      <c r="DT239" s="1">
        <v>2250.3069999999998</v>
      </c>
      <c r="DU239" s="1">
        <v>2242.674</v>
      </c>
      <c r="DV239" s="1">
        <v>2222.0740000000001</v>
      </c>
      <c r="DW239" s="1">
        <v>2211.4380000000001</v>
      </c>
      <c r="DX239" s="1">
        <v>2187.6799999999998</v>
      </c>
      <c r="DY239" s="1">
        <v>2140.7489999999998</v>
      </c>
      <c r="DZ239" s="1">
        <v>2110.9560000000001</v>
      </c>
      <c r="EA239" s="1">
        <v>2108.8209999999999</v>
      </c>
      <c r="EB239" s="1">
        <v>2083.6669999999999</v>
      </c>
      <c r="EC239" s="1">
        <v>2061.326</v>
      </c>
      <c r="ED239" s="1">
        <v>2072.4349999999999</v>
      </c>
    </row>
    <row r="240" spans="1:134" x14ac:dyDescent="0.25">
      <c r="A240" t="s">
        <v>354</v>
      </c>
      <c r="B240" s="1">
        <v>2232.2800000000002</v>
      </c>
      <c r="C240" s="1">
        <v>2262.37</v>
      </c>
      <c r="D240" s="1">
        <v>2288.06</v>
      </c>
      <c r="E240" s="1">
        <v>2310.89</v>
      </c>
      <c r="F240" s="1">
        <v>2291.77</v>
      </c>
      <c r="G240" s="1">
        <v>2243.15</v>
      </c>
      <c r="H240" s="1">
        <v>2213</v>
      </c>
      <c r="I240" s="1">
        <v>2150.06</v>
      </c>
      <c r="J240" s="1">
        <v>2109.3200000000002</v>
      </c>
      <c r="K240" s="1">
        <v>2057.9</v>
      </c>
      <c r="L240" s="1">
        <v>2081.86</v>
      </c>
      <c r="M240" s="1">
        <v>2090.64</v>
      </c>
      <c r="N240" t="s">
        <v>141</v>
      </c>
      <c r="O240" t="s">
        <v>140</v>
      </c>
      <c r="P240" t="s">
        <v>140</v>
      </c>
      <c r="Q240" t="s">
        <v>140</v>
      </c>
      <c r="R240" t="s">
        <v>140</v>
      </c>
      <c r="S240" t="s">
        <v>140</v>
      </c>
      <c r="T240" t="s">
        <v>140</v>
      </c>
      <c r="U240" t="s">
        <v>140</v>
      </c>
      <c r="V240" t="s">
        <v>140</v>
      </c>
      <c r="W240" t="s">
        <v>140</v>
      </c>
      <c r="X240" t="s">
        <v>140</v>
      </c>
      <c r="Y240" t="s">
        <v>140</v>
      </c>
      <c r="Z240" t="s">
        <v>140</v>
      </c>
      <c r="AA240" t="s">
        <v>140</v>
      </c>
      <c r="AB240" t="s">
        <v>140</v>
      </c>
      <c r="AC240" t="s">
        <v>140</v>
      </c>
      <c r="AD240" t="s">
        <v>140</v>
      </c>
      <c r="AE240" t="s">
        <v>140</v>
      </c>
      <c r="AF240" t="s">
        <v>140</v>
      </c>
      <c r="AG240" t="s">
        <v>140</v>
      </c>
      <c r="AH240" t="s">
        <v>140</v>
      </c>
      <c r="AI240" t="s">
        <v>140</v>
      </c>
      <c r="AJ240" t="s">
        <v>140</v>
      </c>
      <c r="AK240" t="s">
        <v>140</v>
      </c>
      <c r="AL240" t="s">
        <v>140</v>
      </c>
      <c r="AM240" t="s">
        <v>140</v>
      </c>
      <c r="AN240" t="s">
        <v>140</v>
      </c>
      <c r="AO240" t="s">
        <v>140</v>
      </c>
      <c r="AP240" t="s">
        <v>140</v>
      </c>
      <c r="AQ240" t="s">
        <v>140</v>
      </c>
      <c r="AR240" t="s">
        <v>140</v>
      </c>
      <c r="AS240" t="s">
        <v>140</v>
      </c>
      <c r="AT240" t="s">
        <v>140</v>
      </c>
      <c r="AU240" t="s">
        <v>140</v>
      </c>
      <c r="AV240" t="s">
        <v>140</v>
      </c>
      <c r="AW240" t="s">
        <v>140</v>
      </c>
      <c r="AX240" t="s">
        <v>140</v>
      </c>
      <c r="AY240" t="s">
        <v>140</v>
      </c>
      <c r="AZ240" t="s">
        <v>140</v>
      </c>
      <c r="BA240" t="s">
        <v>140</v>
      </c>
      <c r="BB240" t="s">
        <v>140</v>
      </c>
      <c r="BC240" t="s">
        <v>140</v>
      </c>
      <c r="BD240" t="s">
        <v>140</v>
      </c>
      <c r="BE240" t="s">
        <v>140</v>
      </c>
      <c r="BF240" t="s">
        <v>140</v>
      </c>
      <c r="BG240" t="s">
        <v>140</v>
      </c>
      <c r="BH240" t="s">
        <v>140</v>
      </c>
      <c r="BI240" t="s">
        <v>140</v>
      </c>
      <c r="BJ240" t="s">
        <v>140</v>
      </c>
      <c r="BK240" t="s">
        <v>140</v>
      </c>
      <c r="BL240" t="s">
        <v>140</v>
      </c>
      <c r="BM240" t="s">
        <v>140</v>
      </c>
      <c r="BN240" t="s">
        <v>140</v>
      </c>
      <c r="BO240" t="s">
        <v>140</v>
      </c>
      <c r="BP240" t="s">
        <v>140</v>
      </c>
      <c r="BQ240" t="s">
        <v>140</v>
      </c>
      <c r="BR240" t="s">
        <v>140</v>
      </c>
      <c r="BS240" t="s">
        <v>140</v>
      </c>
      <c r="BT240" t="s">
        <v>140</v>
      </c>
      <c r="BU240" t="s">
        <v>140</v>
      </c>
      <c r="BV240" t="s">
        <v>140</v>
      </c>
      <c r="BW240" t="s">
        <v>140</v>
      </c>
      <c r="BX240" t="s">
        <v>140</v>
      </c>
      <c r="BY240" t="s">
        <v>140</v>
      </c>
      <c r="BZ240" t="s">
        <v>140</v>
      </c>
      <c r="CA240" t="s">
        <v>140</v>
      </c>
      <c r="CB240" t="s">
        <v>140</v>
      </c>
      <c r="CC240" t="s">
        <v>140</v>
      </c>
      <c r="CD240" t="s">
        <v>140</v>
      </c>
      <c r="CE240" t="s">
        <v>140</v>
      </c>
      <c r="CF240" t="s">
        <v>140</v>
      </c>
      <c r="CG240" t="s">
        <v>140</v>
      </c>
      <c r="CH240" t="s">
        <v>140</v>
      </c>
      <c r="CI240" t="s">
        <v>140</v>
      </c>
      <c r="CJ240" t="s">
        <v>140</v>
      </c>
      <c r="CK240" t="s">
        <v>140</v>
      </c>
      <c r="CL240" t="s">
        <v>140</v>
      </c>
      <c r="CM240" t="s">
        <v>140</v>
      </c>
      <c r="CN240" t="s">
        <v>140</v>
      </c>
      <c r="CO240" t="s">
        <v>140</v>
      </c>
      <c r="CP240" t="s">
        <v>140</v>
      </c>
      <c r="CQ240" t="s">
        <v>140</v>
      </c>
      <c r="CR240" t="s">
        <v>140</v>
      </c>
      <c r="CS240" t="s">
        <v>140</v>
      </c>
      <c r="CT240" t="s">
        <v>140</v>
      </c>
      <c r="CU240" t="s">
        <v>140</v>
      </c>
      <c r="CV240" t="s">
        <v>140</v>
      </c>
      <c r="CW240" t="s">
        <v>140</v>
      </c>
      <c r="CX240" t="s">
        <v>140</v>
      </c>
      <c r="CY240" t="s">
        <v>140</v>
      </c>
      <c r="CZ240" t="s">
        <v>140</v>
      </c>
      <c r="DA240" t="s">
        <v>140</v>
      </c>
      <c r="DB240" t="s">
        <v>140</v>
      </c>
      <c r="DC240" s="1">
        <v>2190.5300000000002</v>
      </c>
      <c r="DD240" s="1">
        <v>2190.5300000000002</v>
      </c>
      <c r="DE240" s="1">
        <v>2212.2800000000002</v>
      </c>
      <c r="DF240" s="1">
        <v>2220.85</v>
      </c>
      <c r="DG240" s="1">
        <v>2256.7199999999998</v>
      </c>
      <c r="DH240" s="1">
        <v>2256.7199999999998</v>
      </c>
      <c r="DI240" s="1">
        <v>2217.4499999999998</v>
      </c>
      <c r="DJ240" s="1">
        <v>2232.2800000000002</v>
      </c>
      <c r="DK240" s="1">
        <v>2249.54</v>
      </c>
      <c r="DL240" s="1">
        <v>2262.37</v>
      </c>
      <c r="DM240" s="1">
        <v>2284.4</v>
      </c>
      <c r="DN240" s="1">
        <v>2288.06</v>
      </c>
      <c r="DO240" s="1">
        <v>2310.89</v>
      </c>
      <c r="DP240" s="1">
        <v>2310.89</v>
      </c>
      <c r="DQ240" s="1">
        <v>2293.2399999999998</v>
      </c>
      <c r="DR240" s="1">
        <v>2291.77</v>
      </c>
      <c r="DS240" s="1">
        <v>2252.4699999999998</v>
      </c>
      <c r="DT240" s="1">
        <v>2243.15</v>
      </c>
      <c r="DU240" s="1">
        <v>2231.34</v>
      </c>
      <c r="DV240" s="1">
        <v>2213</v>
      </c>
      <c r="DW240" s="1">
        <v>2199.88</v>
      </c>
      <c r="DX240" s="1">
        <v>2150.06</v>
      </c>
      <c r="DY240" s="1">
        <v>2111.9899999999998</v>
      </c>
      <c r="DZ240" s="1">
        <v>2109.3200000000002</v>
      </c>
      <c r="EA240" s="1">
        <v>2096.77</v>
      </c>
      <c r="EB240" s="1">
        <v>2057.9</v>
      </c>
      <c r="EC240" s="1">
        <v>2062.4299999999998</v>
      </c>
      <c r="ED240" s="1">
        <v>2081.86</v>
      </c>
    </row>
    <row r="241" spans="1:134" x14ac:dyDescent="0.25">
      <c r="A241" t="s">
        <v>355</v>
      </c>
      <c r="B241" s="1">
        <v>0.34</v>
      </c>
      <c r="C241" s="1">
        <v>0.18</v>
      </c>
      <c r="D241" s="1">
        <v>0.38</v>
      </c>
      <c r="E241" s="1">
        <v>0.45</v>
      </c>
      <c r="F241" s="1">
        <v>0.7</v>
      </c>
      <c r="G241" s="1">
        <v>0.52</v>
      </c>
      <c r="H241" s="1">
        <v>0.52</v>
      </c>
      <c r="I241" s="1">
        <v>0.47</v>
      </c>
      <c r="J241" s="1">
        <v>0.56999999999999995</v>
      </c>
      <c r="K241" s="1">
        <v>0.55000000000000004</v>
      </c>
      <c r="L241" s="1">
        <v>0.8</v>
      </c>
      <c r="M241" s="1">
        <v>0.8</v>
      </c>
      <c r="N241" t="s">
        <v>141</v>
      </c>
      <c r="O241" t="s">
        <v>140</v>
      </c>
      <c r="P241" t="s">
        <v>140</v>
      </c>
      <c r="Q241" t="s">
        <v>140</v>
      </c>
      <c r="R241" t="s">
        <v>140</v>
      </c>
      <c r="S241" t="s">
        <v>140</v>
      </c>
      <c r="T241" t="s">
        <v>140</v>
      </c>
      <c r="U241" t="s">
        <v>140</v>
      </c>
      <c r="V241" t="s">
        <v>140</v>
      </c>
      <c r="W241" t="s">
        <v>140</v>
      </c>
      <c r="X241" t="s">
        <v>140</v>
      </c>
      <c r="Y241" t="s">
        <v>140</v>
      </c>
      <c r="Z241" t="s">
        <v>140</v>
      </c>
      <c r="AA241" t="s">
        <v>140</v>
      </c>
      <c r="AB241" t="s">
        <v>140</v>
      </c>
      <c r="AC241" t="s">
        <v>140</v>
      </c>
      <c r="AD241" t="s">
        <v>140</v>
      </c>
      <c r="AE241" t="s">
        <v>140</v>
      </c>
      <c r="AF241" t="s">
        <v>140</v>
      </c>
      <c r="AG241" t="s">
        <v>140</v>
      </c>
      <c r="AH241" t="s">
        <v>140</v>
      </c>
      <c r="AI241" t="s">
        <v>140</v>
      </c>
      <c r="AJ241" t="s">
        <v>140</v>
      </c>
      <c r="AK241" t="s">
        <v>140</v>
      </c>
      <c r="AL241" t="s">
        <v>140</v>
      </c>
      <c r="AM241" t="s">
        <v>140</v>
      </c>
      <c r="AN241" t="s">
        <v>140</v>
      </c>
      <c r="AO241" t="s">
        <v>140</v>
      </c>
      <c r="AP241" t="s">
        <v>140</v>
      </c>
      <c r="AQ241" t="s">
        <v>140</v>
      </c>
      <c r="AR241" t="s">
        <v>140</v>
      </c>
      <c r="AS241" t="s">
        <v>140</v>
      </c>
      <c r="AT241" t="s">
        <v>140</v>
      </c>
      <c r="AU241" t="s">
        <v>140</v>
      </c>
      <c r="AV241" t="s">
        <v>140</v>
      </c>
      <c r="AW241" t="s">
        <v>140</v>
      </c>
      <c r="AX241" t="s">
        <v>140</v>
      </c>
      <c r="AY241" t="s">
        <v>140</v>
      </c>
      <c r="AZ241" t="s">
        <v>140</v>
      </c>
      <c r="BA241" t="s">
        <v>140</v>
      </c>
      <c r="BB241" t="s">
        <v>140</v>
      </c>
      <c r="BC241" t="s">
        <v>140</v>
      </c>
      <c r="BD241" t="s">
        <v>140</v>
      </c>
      <c r="BE241" t="s">
        <v>140</v>
      </c>
      <c r="BF241" t="s">
        <v>140</v>
      </c>
      <c r="BG241" t="s">
        <v>140</v>
      </c>
      <c r="BH241" t="s">
        <v>140</v>
      </c>
      <c r="BI241" t="s">
        <v>140</v>
      </c>
      <c r="BJ241" t="s">
        <v>140</v>
      </c>
      <c r="BK241" t="s">
        <v>140</v>
      </c>
      <c r="BL241" t="s">
        <v>140</v>
      </c>
      <c r="BM241" t="s">
        <v>140</v>
      </c>
      <c r="BN241" t="s">
        <v>140</v>
      </c>
      <c r="BO241" t="s">
        <v>140</v>
      </c>
      <c r="BP241" t="s">
        <v>140</v>
      </c>
      <c r="BQ241" t="s">
        <v>140</v>
      </c>
      <c r="BR241" t="s">
        <v>140</v>
      </c>
      <c r="BS241" t="s">
        <v>140</v>
      </c>
      <c r="BT241" t="s">
        <v>140</v>
      </c>
      <c r="BU241" t="s">
        <v>140</v>
      </c>
      <c r="BV241" t="s">
        <v>140</v>
      </c>
      <c r="BW241" t="s">
        <v>140</v>
      </c>
      <c r="BX241" t="s">
        <v>140</v>
      </c>
      <c r="BY241" t="s">
        <v>140</v>
      </c>
      <c r="BZ241" t="s">
        <v>140</v>
      </c>
      <c r="CA241" t="s">
        <v>140</v>
      </c>
      <c r="CB241" t="s">
        <v>140</v>
      </c>
      <c r="CC241" t="s">
        <v>140</v>
      </c>
      <c r="CD241" t="s">
        <v>140</v>
      </c>
      <c r="CE241" t="s">
        <v>140</v>
      </c>
      <c r="CF241" t="s">
        <v>140</v>
      </c>
      <c r="CG241" t="s">
        <v>140</v>
      </c>
      <c r="CH241" t="s">
        <v>140</v>
      </c>
      <c r="CI241" t="s">
        <v>140</v>
      </c>
      <c r="CJ241" t="s">
        <v>140</v>
      </c>
      <c r="CK241" t="s">
        <v>140</v>
      </c>
      <c r="CL241" t="s">
        <v>140</v>
      </c>
      <c r="CM241" t="s">
        <v>140</v>
      </c>
      <c r="CN241" t="s">
        <v>140</v>
      </c>
      <c r="CO241" t="s">
        <v>140</v>
      </c>
      <c r="CP241" t="s">
        <v>140</v>
      </c>
      <c r="CQ241" t="s">
        <v>140</v>
      </c>
      <c r="CR241" t="s">
        <v>140</v>
      </c>
      <c r="CS241" t="s">
        <v>140</v>
      </c>
      <c r="CT241" t="s">
        <v>140</v>
      </c>
      <c r="CU241" t="s">
        <v>140</v>
      </c>
      <c r="CV241" t="s">
        <v>140</v>
      </c>
      <c r="CW241" t="s">
        <v>140</v>
      </c>
      <c r="CX241" t="s">
        <v>140</v>
      </c>
      <c r="CY241" t="s">
        <v>140</v>
      </c>
      <c r="CZ241" t="s">
        <v>140</v>
      </c>
      <c r="DA241" t="s">
        <v>140</v>
      </c>
      <c r="DB241" t="s">
        <v>140</v>
      </c>
      <c r="DC241" s="1">
        <v>0</v>
      </c>
      <c r="DD241" s="1">
        <v>0</v>
      </c>
      <c r="DE241" s="1">
        <v>0</v>
      </c>
      <c r="DF241" s="1">
        <v>0</v>
      </c>
      <c r="DG241" s="1">
        <v>0</v>
      </c>
      <c r="DH241" s="1">
        <v>0</v>
      </c>
      <c r="DI241" s="1">
        <v>0</v>
      </c>
      <c r="DJ241" s="1">
        <v>0.34</v>
      </c>
      <c r="DK241" s="1">
        <v>0.28000000000000003</v>
      </c>
      <c r="DL241" s="1">
        <v>0.18</v>
      </c>
      <c r="DM241" s="1">
        <v>0.41</v>
      </c>
      <c r="DN241" s="1">
        <v>0.38</v>
      </c>
      <c r="DO241" s="1">
        <v>0.45</v>
      </c>
      <c r="DP241" s="1">
        <v>0.45</v>
      </c>
      <c r="DQ241" s="1">
        <v>0.45</v>
      </c>
      <c r="DR241" s="1">
        <v>0.7</v>
      </c>
      <c r="DS241" s="1">
        <v>0.46</v>
      </c>
      <c r="DT241" s="1">
        <v>0.52</v>
      </c>
      <c r="DU241" s="1">
        <v>0.49</v>
      </c>
      <c r="DV241" s="1">
        <v>0.52</v>
      </c>
      <c r="DW241" s="1">
        <v>0.55000000000000004</v>
      </c>
      <c r="DX241" s="1">
        <v>0.47</v>
      </c>
      <c r="DY241" s="1">
        <v>0.46</v>
      </c>
      <c r="DZ241" s="1">
        <v>0.56999999999999995</v>
      </c>
      <c r="EA241" s="1">
        <v>0.53</v>
      </c>
      <c r="EB241" s="1">
        <v>0.55000000000000004</v>
      </c>
      <c r="EC241" s="1">
        <v>0.62</v>
      </c>
      <c r="ED241" s="1">
        <v>0.8</v>
      </c>
    </row>
    <row r="242" spans="1:134" x14ac:dyDescent="0.25">
      <c r="A242" t="s">
        <v>356</v>
      </c>
      <c r="B242" t="s">
        <v>361</v>
      </c>
      <c r="C242" t="s">
        <v>362</v>
      </c>
      <c r="D242" t="s">
        <v>363</v>
      </c>
      <c r="E242" t="s">
        <v>364</v>
      </c>
      <c r="F242" t="s">
        <v>365</v>
      </c>
      <c r="G242" t="s">
        <v>366</v>
      </c>
      <c r="H242" t="s">
        <v>367</v>
      </c>
      <c r="I242" t="s">
        <v>368</v>
      </c>
      <c r="J242" t="s">
        <v>369</v>
      </c>
      <c r="K242" t="s">
        <v>370</v>
      </c>
      <c r="L242" t="s">
        <v>371</v>
      </c>
      <c r="M242" t="s">
        <v>371</v>
      </c>
      <c r="N242" t="s">
        <v>141</v>
      </c>
      <c r="O242" t="s">
        <v>140</v>
      </c>
      <c r="P242" t="s">
        <v>140</v>
      </c>
      <c r="Q242" t="s">
        <v>140</v>
      </c>
      <c r="R242" t="s">
        <v>140</v>
      </c>
      <c r="S242" t="s">
        <v>140</v>
      </c>
      <c r="T242" t="s">
        <v>140</v>
      </c>
      <c r="U242" t="s">
        <v>140</v>
      </c>
      <c r="V242" t="s">
        <v>140</v>
      </c>
      <c r="W242" t="s">
        <v>140</v>
      </c>
      <c r="X242" t="s">
        <v>140</v>
      </c>
      <c r="Y242" t="s">
        <v>140</v>
      </c>
      <c r="Z242" t="s">
        <v>140</v>
      </c>
      <c r="AA242" t="s">
        <v>140</v>
      </c>
      <c r="AB242" t="s">
        <v>140</v>
      </c>
      <c r="AC242" t="s">
        <v>140</v>
      </c>
      <c r="AD242" t="s">
        <v>140</v>
      </c>
      <c r="AE242" t="s">
        <v>140</v>
      </c>
      <c r="AF242" t="s">
        <v>140</v>
      </c>
      <c r="AG242" t="s">
        <v>140</v>
      </c>
      <c r="AH242" t="s">
        <v>140</v>
      </c>
      <c r="AI242" t="s">
        <v>140</v>
      </c>
      <c r="AJ242" t="s">
        <v>140</v>
      </c>
      <c r="AK242" t="s">
        <v>140</v>
      </c>
      <c r="AL242" t="s">
        <v>140</v>
      </c>
      <c r="AM242" t="s">
        <v>140</v>
      </c>
      <c r="AN242" t="s">
        <v>140</v>
      </c>
      <c r="AO242" t="s">
        <v>140</v>
      </c>
      <c r="AP242" t="s">
        <v>140</v>
      </c>
      <c r="AQ242" t="s">
        <v>140</v>
      </c>
      <c r="AR242" t="s">
        <v>140</v>
      </c>
      <c r="AS242" t="s">
        <v>140</v>
      </c>
      <c r="AT242" t="s">
        <v>140</v>
      </c>
      <c r="AU242" t="s">
        <v>140</v>
      </c>
      <c r="AV242" t="s">
        <v>140</v>
      </c>
      <c r="AW242" t="s">
        <v>140</v>
      </c>
      <c r="AX242" t="s">
        <v>140</v>
      </c>
      <c r="AY242" t="s">
        <v>140</v>
      </c>
      <c r="AZ242" t="s">
        <v>140</v>
      </c>
      <c r="BA242" t="s">
        <v>140</v>
      </c>
      <c r="BB242" t="s">
        <v>140</v>
      </c>
      <c r="BC242" t="s">
        <v>140</v>
      </c>
      <c r="BD242" t="s">
        <v>140</v>
      </c>
      <c r="BE242" t="s">
        <v>140</v>
      </c>
      <c r="BF242" t="s">
        <v>140</v>
      </c>
      <c r="BG242" t="s">
        <v>140</v>
      </c>
      <c r="BH242" t="s">
        <v>140</v>
      </c>
      <c r="BI242" t="s">
        <v>140</v>
      </c>
      <c r="BJ242" t="s">
        <v>140</v>
      </c>
      <c r="BK242" t="s">
        <v>140</v>
      </c>
      <c r="BL242" t="s">
        <v>140</v>
      </c>
      <c r="BM242" t="s">
        <v>140</v>
      </c>
      <c r="BN242" t="s">
        <v>140</v>
      </c>
      <c r="BO242" t="s">
        <v>140</v>
      </c>
      <c r="BP242" t="s">
        <v>140</v>
      </c>
      <c r="BQ242" t="s">
        <v>140</v>
      </c>
      <c r="BR242" t="s">
        <v>140</v>
      </c>
      <c r="BS242" t="s">
        <v>140</v>
      </c>
      <c r="BT242" t="s">
        <v>140</v>
      </c>
      <c r="BU242" t="s">
        <v>140</v>
      </c>
      <c r="BV242" t="s">
        <v>140</v>
      </c>
      <c r="BW242" t="s">
        <v>140</v>
      </c>
      <c r="BX242" t="s">
        <v>140</v>
      </c>
      <c r="BY242" t="s">
        <v>140</v>
      </c>
      <c r="BZ242" t="s">
        <v>140</v>
      </c>
      <c r="CA242" t="s">
        <v>140</v>
      </c>
      <c r="CB242" t="s">
        <v>140</v>
      </c>
      <c r="CC242" t="s">
        <v>140</v>
      </c>
      <c r="CD242" t="s">
        <v>140</v>
      </c>
      <c r="CE242" t="s">
        <v>140</v>
      </c>
      <c r="CF242" t="s">
        <v>140</v>
      </c>
      <c r="CG242" t="s">
        <v>140</v>
      </c>
      <c r="CH242" t="s">
        <v>140</v>
      </c>
      <c r="CI242" t="s">
        <v>140</v>
      </c>
      <c r="CJ242" t="s">
        <v>140</v>
      </c>
      <c r="CK242" t="s">
        <v>140</v>
      </c>
      <c r="CL242" t="s">
        <v>140</v>
      </c>
      <c r="CM242" t="s">
        <v>140</v>
      </c>
      <c r="CN242" t="s">
        <v>140</v>
      </c>
      <c r="CO242" t="s">
        <v>140</v>
      </c>
      <c r="CP242" t="s">
        <v>140</v>
      </c>
      <c r="CQ242" t="s">
        <v>140</v>
      </c>
      <c r="CR242" t="s">
        <v>140</v>
      </c>
      <c r="CS242" t="s">
        <v>140</v>
      </c>
      <c r="CT242" t="s">
        <v>140</v>
      </c>
      <c r="CU242" t="s">
        <v>140</v>
      </c>
      <c r="CV242" t="s">
        <v>140</v>
      </c>
      <c r="CW242" t="s">
        <v>140</v>
      </c>
      <c r="CX242" t="s">
        <v>140</v>
      </c>
      <c r="CY242" t="s">
        <v>140</v>
      </c>
      <c r="CZ242" t="s">
        <v>140</v>
      </c>
      <c r="DA242" t="s">
        <v>140</v>
      </c>
      <c r="DB242" t="s">
        <v>140</v>
      </c>
      <c r="DC242" t="s">
        <v>357</v>
      </c>
      <c r="DD242" t="s">
        <v>358</v>
      </c>
      <c r="DE242" t="s">
        <v>359</v>
      </c>
      <c r="DF242" t="s">
        <v>360</v>
      </c>
      <c r="DG242" t="s">
        <v>372</v>
      </c>
      <c r="DH242" t="s">
        <v>361</v>
      </c>
      <c r="DI242" t="s">
        <v>372</v>
      </c>
      <c r="DJ242" t="s">
        <v>361</v>
      </c>
      <c r="DK242" t="s">
        <v>373</v>
      </c>
      <c r="DL242" t="s">
        <v>362</v>
      </c>
      <c r="DM242" t="s">
        <v>374</v>
      </c>
      <c r="DN242" t="s">
        <v>363</v>
      </c>
      <c r="DO242" t="s">
        <v>375</v>
      </c>
      <c r="DP242" t="s">
        <v>364</v>
      </c>
      <c r="DQ242" t="s">
        <v>376</v>
      </c>
      <c r="DR242" t="s">
        <v>365</v>
      </c>
      <c r="DS242" t="s">
        <v>377</v>
      </c>
      <c r="DT242" t="s">
        <v>366</v>
      </c>
      <c r="DU242" t="s">
        <v>378</v>
      </c>
      <c r="DV242" t="s">
        <v>367</v>
      </c>
      <c r="DW242" t="s">
        <v>379</v>
      </c>
      <c r="DX242" t="s">
        <v>368</v>
      </c>
      <c r="DY242" t="s">
        <v>380</v>
      </c>
      <c r="DZ242" t="s">
        <v>369</v>
      </c>
      <c r="EA242" t="s">
        <v>381</v>
      </c>
      <c r="EB242" t="s">
        <v>370</v>
      </c>
      <c r="EC242" t="s">
        <v>382</v>
      </c>
      <c r="ED242" t="s">
        <v>371</v>
      </c>
    </row>
    <row r="243" spans="1:134" x14ac:dyDescent="0.25">
      <c r="A243" t="s">
        <v>383</v>
      </c>
      <c r="B243" t="s">
        <v>362</v>
      </c>
      <c r="C243" t="s">
        <v>363</v>
      </c>
      <c r="D243" t="s">
        <v>364</v>
      </c>
      <c r="E243" t="s">
        <v>365</v>
      </c>
      <c r="F243" t="s">
        <v>366</v>
      </c>
      <c r="G243" t="s">
        <v>367</v>
      </c>
      <c r="H243" t="s">
        <v>368</v>
      </c>
      <c r="I243" t="s">
        <v>369</v>
      </c>
      <c r="J243" t="s">
        <v>370</v>
      </c>
      <c r="K243" t="s">
        <v>371</v>
      </c>
      <c r="L243" t="s">
        <v>371</v>
      </c>
      <c r="M243" t="s">
        <v>371</v>
      </c>
      <c r="N243" t="s">
        <v>141</v>
      </c>
      <c r="O243" t="s">
        <v>140</v>
      </c>
      <c r="P243" t="s">
        <v>140</v>
      </c>
      <c r="Q243" t="s">
        <v>140</v>
      </c>
      <c r="R243" t="s">
        <v>140</v>
      </c>
      <c r="S243" t="s">
        <v>140</v>
      </c>
      <c r="T243" t="s">
        <v>140</v>
      </c>
      <c r="U243" t="s">
        <v>140</v>
      </c>
      <c r="V243" t="s">
        <v>140</v>
      </c>
      <c r="W243" t="s">
        <v>140</v>
      </c>
      <c r="X243" t="s">
        <v>140</v>
      </c>
      <c r="Y243" t="s">
        <v>140</v>
      </c>
      <c r="Z243" t="s">
        <v>140</v>
      </c>
      <c r="AA243" t="s">
        <v>140</v>
      </c>
      <c r="AB243" t="s">
        <v>140</v>
      </c>
      <c r="AC243" t="s">
        <v>140</v>
      </c>
      <c r="AD243" t="s">
        <v>140</v>
      </c>
      <c r="AE243" t="s">
        <v>140</v>
      </c>
      <c r="AF243" t="s">
        <v>140</v>
      </c>
      <c r="AG243" t="s">
        <v>140</v>
      </c>
      <c r="AH243" t="s">
        <v>140</v>
      </c>
      <c r="AI243" t="s">
        <v>140</v>
      </c>
      <c r="AJ243" t="s">
        <v>140</v>
      </c>
      <c r="AK243" t="s">
        <v>140</v>
      </c>
      <c r="AL243" t="s">
        <v>140</v>
      </c>
      <c r="AM243" t="s">
        <v>140</v>
      </c>
      <c r="AN243" t="s">
        <v>140</v>
      </c>
      <c r="AO243" t="s">
        <v>140</v>
      </c>
      <c r="AP243" t="s">
        <v>140</v>
      </c>
      <c r="AQ243" t="s">
        <v>140</v>
      </c>
      <c r="AR243" t="s">
        <v>140</v>
      </c>
      <c r="AS243" t="s">
        <v>140</v>
      </c>
      <c r="AT243" t="s">
        <v>140</v>
      </c>
      <c r="AU243" t="s">
        <v>140</v>
      </c>
      <c r="AV243" t="s">
        <v>140</v>
      </c>
      <c r="AW243" t="s">
        <v>140</v>
      </c>
      <c r="AX243" t="s">
        <v>140</v>
      </c>
      <c r="AY243" t="s">
        <v>140</v>
      </c>
      <c r="AZ243" t="s">
        <v>140</v>
      </c>
      <c r="BA243" t="s">
        <v>140</v>
      </c>
      <c r="BB243" t="s">
        <v>140</v>
      </c>
      <c r="BC243" t="s">
        <v>140</v>
      </c>
      <c r="BD243" t="s">
        <v>140</v>
      </c>
      <c r="BE243" t="s">
        <v>140</v>
      </c>
      <c r="BF243" t="s">
        <v>140</v>
      </c>
      <c r="BG243" t="s">
        <v>140</v>
      </c>
      <c r="BH243" t="s">
        <v>140</v>
      </c>
      <c r="BI243" t="s">
        <v>140</v>
      </c>
      <c r="BJ243" t="s">
        <v>140</v>
      </c>
      <c r="BK243" t="s">
        <v>140</v>
      </c>
      <c r="BL243" t="s">
        <v>140</v>
      </c>
      <c r="BM243" t="s">
        <v>140</v>
      </c>
      <c r="BN243" t="s">
        <v>140</v>
      </c>
      <c r="BO243" t="s">
        <v>140</v>
      </c>
      <c r="BP243" t="s">
        <v>140</v>
      </c>
      <c r="BQ243" t="s">
        <v>140</v>
      </c>
      <c r="BR243" t="s">
        <v>140</v>
      </c>
      <c r="BS243" t="s">
        <v>140</v>
      </c>
      <c r="BT243" t="s">
        <v>140</v>
      </c>
      <c r="BU243" t="s">
        <v>140</v>
      </c>
      <c r="BV243" t="s">
        <v>140</v>
      </c>
      <c r="BW243" t="s">
        <v>140</v>
      </c>
      <c r="BX243" t="s">
        <v>140</v>
      </c>
      <c r="BY243" t="s">
        <v>140</v>
      </c>
      <c r="BZ243" t="s">
        <v>140</v>
      </c>
      <c r="CA243" t="s">
        <v>140</v>
      </c>
      <c r="CB243" t="s">
        <v>140</v>
      </c>
      <c r="CC243" t="s">
        <v>140</v>
      </c>
      <c r="CD243" t="s">
        <v>140</v>
      </c>
      <c r="CE243" t="s">
        <v>140</v>
      </c>
      <c r="CF243" t="s">
        <v>140</v>
      </c>
      <c r="CG243" t="s">
        <v>140</v>
      </c>
      <c r="CH243" t="s">
        <v>140</v>
      </c>
      <c r="CI243" t="s">
        <v>140</v>
      </c>
      <c r="CJ243" t="s">
        <v>140</v>
      </c>
      <c r="CK243" t="s">
        <v>140</v>
      </c>
      <c r="CL243" t="s">
        <v>140</v>
      </c>
      <c r="CM243" t="s">
        <v>140</v>
      </c>
      <c r="CN243" t="s">
        <v>140</v>
      </c>
      <c r="CO243" t="s">
        <v>140</v>
      </c>
      <c r="CP243" t="s">
        <v>140</v>
      </c>
      <c r="CQ243" t="s">
        <v>140</v>
      </c>
      <c r="CR243" t="s">
        <v>140</v>
      </c>
      <c r="CS243" t="s">
        <v>140</v>
      </c>
      <c r="CT243" t="s">
        <v>140</v>
      </c>
      <c r="CU243" t="s">
        <v>140</v>
      </c>
      <c r="CV243" t="s">
        <v>140</v>
      </c>
      <c r="CW243" t="s">
        <v>140</v>
      </c>
      <c r="CX243" t="s">
        <v>140</v>
      </c>
      <c r="CY243" t="s">
        <v>140</v>
      </c>
      <c r="CZ243" t="s">
        <v>140</v>
      </c>
      <c r="DA243" t="s">
        <v>140</v>
      </c>
      <c r="DB243" t="s">
        <v>140</v>
      </c>
      <c r="DC243" t="s">
        <v>357</v>
      </c>
      <c r="DD243" t="s">
        <v>358</v>
      </c>
      <c r="DE243" t="s">
        <v>359</v>
      </c>
      <c r="DF243" t="s">
        <v>360</v>
      </c>
      <c r="DG243" t="s">
        <v>372</v>
      </c>
      <c r="DH243" t="s">
        <v>361</v>
      </c>
      <c r="DI243" t="s">
        <v>373</v>
      </c>
      <c r="DJ243" t="s">
        <v>362</v>
      </c>
      <c r="DK243" t="s">
        <v>374</v>
      </c>
      <c r="DL243" t="s">
        <v>363</v>
      </c>
      <c r="DM243" t="s">
        <v>375</v>
      </c>
      <c r="DN243" t="s">
        <v>364</v>
      </c>
      <c r="DO243" t="s">
        <v>376</v>
      </c>
      <c r="DP243" t="s">
        <v>365</v>
      </c>
      <c r="DQ243" t="s">
        <v>377</v>
      </c>
      <c r="DR243" t="s">
        <v>366</v>
      </c>
      <c r="DS243" t="s">
        <v>378</v>
      </c>
      <c r="DT243" t="s">
        <v>367</v>
      </c>
      <c r="DU243" t="s">
        <v>379</v>
      </c>
      <c r="DV243" t="s">
        <v>368</v>
      </c>
      <c r="DW243" t="s">
        <v>380</v>
      </c>
      <c r="DX243" t="s">
        <v>369</v>
      </c>
      <c r="DY243" t="s">
        <v>381</v>
      </c>
      <c r="DZ243" t="s">
        <v>370</v>
      </c>
      <c r="EA243" t="s">
        <v>382</v>
      </c>
      <c r="EB243" t="s">
        <v>371</v>
      </c>
      <c r="EC243" t="s">
        <v>382</v>
      </c>
      <c r="ED243" t="s">
        <v>371</v>
      </c>
    </row>
    <row r="244" spans="1:134" x14ac:dyDescent="0.25">
      <c r="A244" t="s">
        <v>384</v>
      </c>
      <c r="D244" t="s">
        <v>385</v>
      </c>
      <c r="E244" t="s">
        <v>386</v>
      </c>
      <c r="F244" t="s">
        <v>387</v>
      </c>
      <c r="G244" t="s">
        <v>388</v>
      </c>
      <c r="H244" t="s">
        <v>389</v>
      </c>
      <c r="I244" t="s">
        <v>390</v>
      </c>
      <c r="J244" t="s">
        <v>391</v>
      </c>
      <c r="K244" t="s">
        <v>392</v>
      </c>
      <c r="L244" t="s">
        <v>393</v>
      </c>
      <c r="M244" t="s">
        <v>393</v>
      </c>
      <c r="N244" t="s">
        <v>141</v>
      </c>
      <c r="O244" t="s">
        <v>140</v>
      </c>
      <c r="P244" t="s">
        <v>140</v>
      </c>
      <c r="Q244" t="s">
        <v>140</v>
      </c>
      <c r="R244" t="s">
        <v>140</v>
      </c>
      <c r="S244" t="s">
        <v>140</v>
      </c>
      <c r="T244" t="s">
        <v>140</v>
      </c>
      <c r="U244" t="s">
        <v>140</v>
      </c>
      <c r="V244" t="s">
        <v>140</v>
      </c>
      <c r="W244" t="s">
        <v>140</v>
      </c>
      <c r="X244" t="s">
        <v>140</v>
      </c>
      <c r="Y244" t="s">
        <v>140</v>
      </c>
      <c r="Z244" t="s">
        <v>140</v>
      </c>
      <c r="AA244" t="s">
        <v>140</v>
      </c>
      <c r="AB244" t="s">
        <v>140</v>
      </c>
      <c r="AC244" t="s">
        <v>140</v>
      </c>
      <c r="AD244" t="s">
        <v>140</v>
      </c>
      <c r="AE244" t="s">
        <v>140</v>
      </c>
      <c r="AF244" t="s">
        <v>140</v>
      </c>
      <c r="AG244" t="s">
        <v>140</v>
      </c>
      <c r="AH244" t="s">
        <v>140</v>
      </c>
      <c r="AI244" t="s">
        <v>140</v>
      </c>
      <c r="AJ244" t="s">
        <v>140</v>
      </c>
      <c r="AK244" t="s">
        <v>140</v>
      </c>
      <c r="AL244" t="s">
        <v>140</v>
      </c>
      <c r="AM244" t="s">
        <v>140</v>
      </c>
      <c r="AN244" t="s">
        <v>140</v>
      </c>
      <c r="AO244" t="s">
        <v>140</v>
      </c>
      <c r="AP244" t="s">
        <v>140</v>
      </c>
      <c r="AQ244" t="s">
        <v>140</v>
      </c>
      <c r="AR244" t="s">
        <v>140</v>
      </c>
      <c r="AS244" t="s">
        <v>140</v>
      </c>
      <c r="AT244" t="s">
        <v>140</v>
      </c>
      <c r="AU244" t="s">
        <v>140</v>
      </c>
      <c r="AV244" t="s">
        <v>140</v>
      </c>
      <c r="AW244" t="s">
        <v>140</v>
      </c>
      <c r="AX244" t="s">
        <v>140</v>
      </c>
      <c r="AY244" t="s">
        <v>140</v>
      </c>
      <c r="AZ244" t="s">
        <v>140</v>
      </c>
      <c r="BA244" t="s">
        <v>140</v>
      </c>
      <c r="BB244" t="s">
        <v>140</v>
      </c>
      <c r="BC244" t="s">
        <v>140</v>
      </c>
      <c r="BD244" t="s">
        <v>140</v>
      </c>
      <c r="BE244" t="s">
        <v>140</v>
      </c>
      <c r="BF244" t="s">
        <v>140</v>
      </c>
      <c r="BG244" t="s">
        <v>140</v>
      </c>
      <c r="BH244" t="s">
        <v>140</v>
      </c>
      <c r="BI244" t="s">
        <v>140</v>
      </c>
      <c r="BJ244" t="s">
        <v>140</v>
      </c>
      <c r="BK244" t="s">
        <v>140</v>
      </c>
      <c r="BL244" t="s">
        <v>140</v>
      </c>
      <c r="BM244" t="s">
        <v>140</v>
      </c>
      <c r="BN244" t="s">
        <v>140</v>
      </c>
      <c r="BO244" t="s">
        <v>140</v>
      </c>
      <c r="BP244" t="s">
        <v>140</v>
      </c>
      <c r="BQ244" t="s">
        <v>140</v>
      </c>
      <c r="BR244" t="s">
        <v>140</v>
      </c>
      <c r="BS244" t="s">
        <v>140</v>
      </c>
      <c r="BT244" t="s">
        <v>140</v>
      </c>
      <c r="BU244" t="s">
        <v>140</v>
      </c>
      <c r="BV244" t="s">
        <v>140</v>
      </c>
      <c r="BW244" t="s">
        <v>140</v>
      </c>
      <c r="BX244" t="s">
        <v>140</v>
      </c>
      <c r="BY244" t="s">
        <v>140</v>
      </c>
      <c r="BZ244" t="s">
        <v>140</v>
      </c>
      <c r="CA244" t="s">
        <v>140</v>
      </c>
      <c r="CB244" t="s">
        <v>140</v>
      </c>
      <c r="CC244" t="s">
        <v>140</v>
      </c>
      <c r="CD244" t="s">
        <v>140</v>
      </c>
      <c r="CE244" t="s">
        <v>140</v>
      </c>
      <c r="CF244" t="s">
        <v>140</v>
      </c>
      <c r="CG244" t="s">
        <v>140</v>
      </c>
      <c r="CH244" t="s">
        <v>140</v>
      </c>
      <c r="CI244" t="s">
        <v>140</v>
      </c>
      <c r="CJ244" t="s">
        <v>140</v>
      </c>
      <c r="CK244" t="s">
        <v>140</v>
      </c>
      <c r="CL244" t="s">
        <v>140</v>
      </c>
      <c r="CM244" t="s">
        <v>140</v>
      </c>
      <c r="CN244" t="s">
        <v>140</v>
      </c>
      <c r="CO244" t="s">
        <v>140</v>
      </c>
      <c r="CP244" t="s">
        <v>140</v>
      </c>
      <c r="CQ244" t="s">
        <v>140</v>
      </c>
      <c r="CR244" t="s">
        <v>140</v>
      </c>
      <c r="CS244" t="s">
        <v>140</v>
      </c>
      <c r="CT244" t="s">
        <v>140</v>
      </c>
      <c r="CU244" t="s">
        <v>140</v>
      </c>
      <c r="CV244" t="s">
        <v>140</v>
      </c>
      <c r="CW244" t="s">
        <v>140</v>
      </c>
      <c r="CX244" t="s">
        <v>140</v>
      </c>
      <c r="CY244" t="s">
        <v>140</v>
      </c>
      <c r="CZ244" t="s">
        <v>140</v>
      </c>
      <c r="DA244" t="s">
        <v>140</v>
      </c>
      <c r="DB244" t="s">
        <v>140</v>
      </c>
      <c r="DM244" t="s">
        <v>394</v>
      </c>
      <c r="DN244" t="s">
        <v>385</v>
      </c>
      <c r="DP244" t="s">
        <v>386</v>
      </c>
      <c r="DQ244" t="s">
        <v>395</v>
      </c>
      <c r="DR244" t="s">
        <v>387</v>
      </c>
      <c r="DT244" t="s">
        <v>388</v>
      </c>
      <c r="DU244" t="s">
        <v>396</v>
      </c>
      <c r="DV244" t="s">
        <v>389</v>
      </c>
      <c r="DW244" t="s">
        <v>397</v>
      </c>
      <c r="DX244" t="s">
        <v>390</v>
      </c>
      <c r="DY244" t="s">
        <v>398</v>
      </c>
      <c r="DZ244" t="s">
        <v>391</v>
      </c>
      <c r="EA244" t="s">
        <v>399</v>
      </c>
      <c r="EB244" t="s">
        <v>392</v>
      </c>
      <c r="EC244" t="s">
        <v>400</v>
      </c>
      <c r="ED244" t="s">
        <v>393</v>
      </c>
    </row>
    <row r="245" spans="1:134" x14ac:dyDescent="0.25">
      <c r="A245" t="s">
        <v>401</v>
      </c>
      <c r="B245" s="1">
        <v>0</v>
      </c>
      <c r="C245" s="1">
        <v>0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  <c r="M245" s="1">
        <v>0</v>
      </c>
      <c r="N245" t="s">
        <v>141</v>
      </c>
      <c r="O245" t="s">
        <v>140</v>
      </c>
      <c r="P245" t="s">
        <v>140</v>
      </c>
      <c r="Q245" t="s">
        <v>140</v>
      </c>
      <c r="R245" t="s">
        <v>140</v>
      </c>
      <c r="S245" t="s">
        <v>140</v>
      </c>
      <c r="T245" t="s">
        <v>140</v>
      </c>
      <c r="U245" t="s">
        <v>140</v>
      </c>
      <c r="V245" t="s">
        <v>140</v>
      </c>
      <c r="W245" t="s">
        <v>140</v>
      </c>
      <c r="X245" t="s">
        <v>140</v>
      </c>
      <c r="Y245" t="s">
        <v>140</v>
      </c>
      <c r="Z245" t="s">
        <v>140</v>
      </c>
      <c r="AA245" t="s">
        <v>140</v>
      </c>
      <c r="AB245" t="s">
        <v>140</v>
      </c>
      <c r="AC245" t="s">
        <v>140</v>
      </c>
      <c r="AD245" t="s">
        <v>140</v>
      </c>
      <c r="AE245" t="s">
        <v>140</v>
      </c>
      <c r="AF245" t="s">
        <v>140</v>
      </c>
      <c r="AG245" t="s">
        <v>140</v>
      </c>
      <c r="AH245" t="s">
        <v>140</v>
      </c>
      <c r="AI245" t="s">
        <v>140</v>
      </c>
      <c r="AJ245" t="s">
        <v>140</v>
      </c>
      <c r="AK245" t="s">
        <v>140</v>
      </c>
      <c r="AL245" t="s">
        <v>140</v>
      </c>
      <c r="AM245" t="s">
        <v>140</v>
      </c>
      <c r="AN245" t="s">
        <v>140</v>
      </c>
      <c r="AO245" t="s">
        <v>140</v>
      </c>
      <c r="AP245" t="s">
        <v>140</v>
      </c>
      <c r="AQ245" t="s">
        <v>140</v>
      </c>
      <c r="AR245" t="s">
        <v>140</v>
      </c>
      <c r="AS245" t="s">
        <v>140</v>
      </c>
      <c r="AT245" t="s">
        <v>140</v>
      </c>
      <c r="AU245" t="s">
        <v>140</v>
      </c>
      <c r="AV245" t="s">
        <v>140</v>
      </c>
      <c r="AW245" t="s">
        <v>140</v>
      </c>
      <c r="AX245" t="s">
        <v>140</v>
      </c>
      <c r="AY245" t="s">
        <v>140</v>
      </c>
      <c r="AZ245" t="s">
        <v>140</v>
      </c>
      <c r="BA245" t="s">
        <v>140</v>
      </c>
      <c r="BB245" t="s">
        <v>140</v>
      </c>
      <c r="BC245" t="s">
        <v>140</v>
      </c>
      <c r="BD245" t="s">
        <v>140</v>
      </c>
      <c r="BE245" t="s">
        <v>140</v>
      </c>
      <c r="BF245" t="s">
        <v>140</v>
      </c>
      <c r="BG245" t="s">
        <v>140</v>
      </c>
      <c r="BH245" t="s">
        <v>140</v>
      </c>
      <c r="BI245" t="s">
        <v>140</v>
      </c>
      <c r="BJ245" t="s">
        <v>140</v>
      </c>
      <c r="BK245" t="s">
        <v>140</v>
      </c>
      <c r="BL245" t="s">
        <v>140</v>
      </c>
      <c r="BM245" t="s">
        <v>140</v>
      </c>
      <c r="BN245" t="s">
        <v>140</v>
      </c>
      <c r="BO245" t="s">
        <v>140</v>
      </c>
      <c r="BP245" t="s">
        <v>140</v>
      </c>
      <c r="BQ245" t="s">
        <v>140</v>
      </c>
      <c r="BR245" t="s">
        <v>140</v>
      </c>
      <c r="BS245" t="s">
        <v>140</v>
      </c>
      <c r="BT245" t="s">
        <v>140</v>
      </c>
      <c r="BU245" t="s">
        <v>140</v>
      </c>
      <c r="BV245" t="s">
        <v>140</v>
      </c>
      <c r="BW245" t="s">
        <v>140</v>
      </c>
      <c r="BX245" t="s">
        <v>140</v>
      </c>
      <c r="BY245" t="s">
        <v>140</v>
      </c>
      <c r="BZ245" t="s">
        <v>140</v>
      </c>
      <c r="CA245" t="s">
        <v>140</v>
      </c>
      <c r="CB245" t="s">
        <v>140</v>
      </c>
      <c r="CC245" t="s">
        <v>140</v>
      </c>
      <c r="CD245" t="s">
        <v>140</v>
      </c>
      <c r="CE245" t="s">
        <v>140</v>
      </c>
      <c r="CF245" t="s">
        <v>140</v>
      </c>
      <c r="CG245" t="s">
        <v>140</v>
      </c>
      <c r="CH245" t="s">
        <v>140</v>
      </c>
      <c r="CI245" t="s">
        <v>140</v>
      </c>
      <c r="CJ245" t="s">
        <v>140</v>
      </c>
      <c r="CK245" t="s">
        <v>140</v>
      </c>
      <c r="CL245" t="s">
        <v>140</v>
      </c>
      <c r="CM245" t="s">
        <v>140</v>
      </c>
      <c r="CN245" t="s">
        <v>140</v>
      </c>
      <c r="CO245" t="s">
        <v>140</v>
      </c>
      <c r="CP245" t="s">
        <v>140</v>
      </c>
      <c r="CQ245" t="s">
        <v>140</v>
      </c>
      <c r="CR245" t="s">
        <v>140</v>
      </c>
      <c r="CS245" t="s">
        <v>140</v>
      </c>
      <c r="CT245" t="s">
        <v>140</v>
      </c>
      <c r="CU245" t="s">
        <v>140</v>
      </c>
      <c r="CV245" t="s">
        <v>140</v>
      </c>
      <c r="CW245" t="s">
        <v>140</v>
      </c>
      <c r="CX245" t="s">
        <v>140</v>
      </c>
      <c r="CY245" t="s">
        <v>140</v>
      </c>
      <c r="CZ245" t="s">
        <v>140</v>
      </c>
      <c r="DA245" t="s">
        <v>140</v>
      </c>
      <c r="DB245" t="s">
        <v>140</v>
      </c>
      <c r="DC245" s="1">
        <v>0</v>
      </c>
      <c r="DD245" s="1">
        <v>0</v>
      </c>
      <c r="DE245" s="1">
        <v>0</v>
      </c>
      <c r="DF245" s="1">
        <v>0</v>
      </c>
      <c r="DG245" s="1">
        <v>0</v>
      </c>
      <c r="DH245" s="1">
        <v>0</v>
      </c>
      <c r="DI245" s="1">
        <v>0</v>
      </c>
      <c r="DJ245" s="1">
        <v>0</v>
      </c>
      <c r="DK245" s="1">
        <v>0</v>
      </c>
      <c r="DL245" s="1">
        <v>0</v>
      </c>
      <c r="DM245" s="1">
        <v>0</v>
      </c>
      <c r="DN245" s="1">
        <v>0</v>
      </c>
      <c r="DO245" s="1">
        <v>0</v>
      </c>
      <c r="DP245" s="1">
        <v>0</v>
      </c>
      <c r="DQ245" s="1">
        <v>0</v>
      </c>
      <c r="DR245" s="1">
        <v>0</v>
      </c>
      <c r="DS245" s="1">
        <v>0</v>
      </c>
      <c r="DT245" s="1">
        <v>0</v>
      </c>
      <c r="DU245" s="1">
        <v>0</v>
      </c>
      <c r="DV245" s="1">
        <v>0</v>
      </c>
      <c r="DW245" s="1">
        <v>0</v>
      </c>
      <c r="DX245" s="1">
        <v>0</v>
      </c>
      <c r="DY245" s="1">
        <v>0</v>
      </c>
      <c r="DZ245" s="1">
        <v>0</v>
      </c>
      <c r="EA245" s="1">
        <v>0</v>
      </c>
      <c r="EB245" s="1">
        <v>0</v>
      </c>
      <c r="EC245" s="1">
        <v>0</v>
      </c>
      <c r="ED245" s="1">
        <v>0</v>
      </c>
    </row>
    <row r="246" spans="1:134" x14ac:dyDescent="0.25">
      <c r="A246" t="s">
        <v>402</v>
      </c>
      <c r="B246" s="1">
        <v>798</v>
      </c>
      <c r="C246" s="1">
        <v>0</v>
      </c>
      <c r="D246" s="1">
        <v>0</v>
      </c>
      <c r="E246" s="1">
        <v>930</v>
      </c>
      <c r="F246" s="1">
        <v>930</v>
      </c>
      <c r="G246" s="1">
        <v>883</v>
      </c>
      <c r="H246" s="1">
        <v>902</v>
      </c>
      <c r="I246" s="1">
        <v>895</v>
      </c>
      <c r="J246" s="1">
        <v>955</v>
      </c>
      <c r="K246" s="1">
        <v>0</v>
      </c>
      <c r="L246" s="1">
        <v>0</v>
      </c>
      <c r="M246" s="1">
        <v>973</v>
      </c>
      <c r="N246" t="s">
        <v>141</v>
      </c>
      <c r="O246" t="s">
        <v>140</v>
      </c>
      <c r="P246" t="s">
        <v>140</v>
      </c>
      <c r="Q246" t="s">
        <v>140</v>
      </c>
      <c r="R246" t="s">
        <v>140</v>
      </c>
      <c r="S246" t="s">
        <v>140</v>
      </c>
      <c r="T246" t="s">
        <v>140</v>
      </c>
      <c r="U246" t="s">
        <v>140</v>
      </c>
      <c r="V246" t="s">
        <v>140</v>
      </c>
      <c r="W246" t="s">
        <v>140</v>
      </c>
      <c r="X246" t="s">
        <v>140</v>
      </c>
      <c r="Y246" t="s">
        <v>140</v>
      </c>
      <c r="Z246" t="s">
        <v>140</v>
      </c>
      <c r="AA246" t="s">
        <v>140</v>
      </c>
      <c r="AB246" t="s">
        <v>140</v>
      </c>
      <c r="AC246" t="s">
        <v>140</v>
      </c>
      <c r="AD246" t="s">
        <v>140</v>
      </c>
      <c r="AE246" t="s">
        <v>140</v>
      </c>
      <c r="AF246" t="s">
        <v>140</v>
      </c>
      <c r="AG246" t="s">
        <v>140</v>
      </c>
      <c r="AH246" t="s">
        <v>140</v>
      </c>
      <c r="AI246" t="s">
        <v>140</v>
      </c>
      <c r="AJ246" t="s">
        <v>140</v>
      </c>
      <c r="AK246" t="s">
        <v>140</v>
      </c>
      <c r="AL246" t="s">
        <v>140</v>
      </c>
      <c r="AM246" t="s">
        <v>140</v>
      </c>
      <c r="AN246" t="s">
        <v>140</v>
      </c>
      <c r="AO246" t="s">
        <v>140</v>
      </c>
      <c r="AP246" t="s">
        <v>140</v>
      </c>
      <c r="AQ246" t="s">
        <v>140</v>
      </c>
      <c r="AR246" t="s">
        <v>140</v>
      </c>
      <c r="AS246" t="s">
        <v>140</v>
      </c>
      <c r="AT246" t="s">
        <v>140</v>
      </c>
      <c r="AU246" t="s">
        <v>140</v>
      </c>
      <c r="AV246" t="s">
        <v>140</v>
      </c>
      <c r="AW246" t="s">
        <v>140</v>
      </c>
      <c r="AX246" t="s">
        <v>140</v>
      </c>
      <c r="AY246" t="s">
        <v>140</v>
      </c>
      <c r="AZ246" t="s">
        <v>140</v>
      </c>
      <c r="BA246" t="s">
        <v>140</v>
      </c>
      <c r="BB246" t="s">
        <v>140</v>
      </c>
      <c r="BC246" t="s">
        <v>140</v>
      </c>
      <c r="BD246" t="s">
        <v>140</v>
      </c>
      <c r="BE246" t="s">
        <v>140</v>
      </c>
      <c r="BF246" t="s">
        <v>140</v>
      </c>
      <c r="BG246" t="s">
        <v>140</v>
      </c>
      <c r="BH246" t="s">
        <v>140</v>
      </c>
      <c r="BI246" t="s">
        <v>140</v>
      </c>
      <c r="BJ246" t="s">
        <v>140</v>
      </c>
      <c r="BK246" t="s">
        <v>140</v>
      </c>
      <c r="BL246" t="s">
        <v>140</v>
      </c>
      <c r="BM246" t="s">
        <v>140</v>
      </c>
      <c r="BN246" t="s">
        <v>140</v>
      </c>
      <c r="BO246" t="s">
        <v>140</v>
      </c>
      <c r="BP246" t="s">
        <v>140</v>
      </c>
      <c r="BQ246" t="s">
        <v>140</v>
      </c>
      <c r="BR246" t="s">
        <v>140</v>
      </c>
      <c r="BS246" t="s">
        <v>140</v>
      </c>
      <c r="BT246" t="s">
        <v>140</v>
      </c>
      <c r="BU246" t="s">
        <v>140</v>
      </c>
      <c r="BV246" t="s">
        <v>140</v>
      </c>
      <c r="BW246" t="s">
        <v>140</v>
      </c>
      <c r="BX246" t="s">
        <v>140</v>
      </c>
      <c r="BY246" t="s">
        <v>140</v>
      </c>
      <c r="BZ246" t="s">
        <v>140</v>
      </c>
      <c r="CA246" t="s">
        <v>140</v>
      </c>
      <c r="CB246" t="s">
        <v>140</v>
      </c>
      <c r="CC246" t="s">
        <v>140</v>
      </c>
      <c r="CD246" t="s">
        <v>140</v>
      </c>
      <c r="CE246" t="s">
        <v>140</v>
      </c>
      <c r="CF246" t="s">
        <v>140</v>
      </c>
      <c r="CG246" t="s">
        <v>140</v>
      </c>
      <c r="CH246" t="s">
        <v>140</v>
      </c>
      <c r="CI246" t="s">
        <v>140</v>
      </c>
      <c r="CJ246" t="s">
        <v>140</v>
      </c>
      <c r="CK246" t="s">
        <v>140</v>
      </c>
      <c r="CL246" t="s">
        <v>140</v>
      </c>
      <c r="CM246" t="s">
        <v>140</v>
      </c>
      <c r="CN246" t="s">
        <v>140</v>
      </c>
      <c r="CO246" t="s">
        <v>140</v>
      </c>
      <c r="CP246" t="s">
        <v>140</v>
      </c>
      <c r="CQ246" t="s">
        <v>140</v>
      </c>
      <c r="CR246" t="s">
        <v>140</v>
      </c>
      <c r="CS246" t="s">
        <v>140</v>
      </c>
      <c r="CT246" t="s">
        <v>140</v>
      </c>
      <c r="CU246" t="s">
        <v>140</v>
      </c>
      <c r="CV246" t="s">
        <v>140</v>
      </c>
      <c r="CW246" t="s">
        <v>140</v>
      </c>
      <c r="CX246" t="s">
        <v>140</v>
      </c>
      <c r="CY246" t="s">
        <v>140</v>
      </c>
      <c r="CZ246" t="s">
        <v>140</v>
      </c>
      <c r="DA246" t="s">
        <v>140</v>
      </c>
      <c r="DB246" t="s">
        <v>140</v>
      </c>
      <c r="DC246" s="1">
        <v>0</v>
      </c>
      <c r="DD246" s="1">
        <v>0</v>
      </c>
      <c r="DE246" s="1">
        <v>0</v>
      </c>
      <c r="DF246" s="1">
        <v>473</v>
      </c>
      <c r="DG246" s="1">
        <v>0</v>
      </c>
      <c r="DH246" s="1">
        <v>729</v>
      </c>
      <c r="DI246" s="1">
        <v>769</v>
      </c>
      <c r="DJ246" s="1">
        <v>798</v>
      </c>
      <c r="DK246" s="1">
        <v>814</v>
      </c>
      <c r="DL246" s="1">
        <v>0</v>
      </c>
      <c r="DM246" s="1">
        <v>0</v>
      </c>
      <c r="DN246" s="1">
        <v>0</v>
      </c>
      <c r="DO246" s="1">
        <v>902</v>
      </c>
      <c r="DP246" s="1">
        <v>930</v>
      </c>
      <c r="DQ246" s="1">
        <v>956</v>
      </c>
      <c r="DR246" s="1">
        <v>930</v>
      </c>
      <c r="DS246" s="1">
        <v>936</v>
      </c>
      <c r="DT246" s="1">
        <v>883</v>
      </c>
      <c r="DU246" s="1">
        <v>905</v>
      </c>
      <c r="DV246" s="1">
        <v>902</v>
      </c>
      <c r="DW246" s="1">
        <v>907</v>
      </c>
      <c r="DX246" s="1">
        <v>895</v>
      </c>
      <c r="DY246" s="1">
        <v>451</v>
      </c>
      <c r="DZ246" s="1">
        <v>955</v>
      </c>
      <c r="EA246" s="1">
        <v>973</v>
      </c>
      <c r="EB246" s="1">
        <v>0</v>
      </c>
      <c r="EC246" s="1">
        <v>0</v>
      </c>
      <c r="ED246" s="1">
        <v>0</v>
      </c>
    </row>
  </sheetData>
  <sheetProtection formatCells="0" formatColumns="0" formatRows="0" insertColumns="0" insertRows="0" insertHyperlinks="0" deleteColumns="0" deleteRows="0" sort="0" autoFilter="0" pivotTables="0"/>
  <mergeCells count="6">
    <mergeCell ref="A19:AZ19"/>
    <mergeCell ref="A1:AZ1"/>
    <mergeCell ref="A4:AZ4"/>
    <mergeCell ref="A12:AZ12"/>
    <mergeCell ref="I18:K18"/>
    <mergeCell ref="I17:K17"/>
  </mergeCells>
  <pageMargins left="0.7" right="0.7" top="0.75" bottom="0.75" header="0.3" footer="0.3"/>
  <pageSetup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8AC78-1182-4124-970A-803A75F6A2DD}">
  <dimension ref="B1:S49"/>
  <sheetViews>
    <sheetView zoomScale="60" zoomScaleNormal="60" workbookViewId="0">
      <pane ySplit="1" topLeftCell="A23" activePane="bottomLeft" state="frozen"/>
      <selection pane="bottomLeft" activeCell="F2" sqref="F2"/>
    </sheetView>
  </sheetViews>
  <sheetFormatPr baseColWidth="10" defaultRowHeight="57.95" customHeight="1" x14ac:dyDescent="0.25"/>
  <cols>
    <col min="1" max="1" width="4.140625" customWidth="1"/>
    <col min="2" max="2" width="21.7109375" customWidth="1"/>
    <col min="3" max="3" width="34.42578125" customWidth="1"/>
    <col min="4" max="4" width="50.5703125" customWidth="1"/>
    <col min="17" max="17" width="0" hidden="1" customWidth="1"/>
    <col min="18" max="18" width="17.7109375" customWidth="1"/>
    <col min="19" max="19" width="12.5703125" customWidth="1"/>
  </cols>
  <sheetData>
    <row r="1" spans="2:19" ht="15.75" x14ac:dyDescent="0.25">
      <c r="B1" s="4"/>
      <c r="C1" s="4"/>
      <c r="D1" s="4"/>
      <c r="E1" s="9" t="s">
        <v>408</v>
      </c>
      <c r="F1" s="9">
        <v>2011</v>
      </c>
      <c r="G1" s="9">
        <v>2012</v>
      </c>
      <c r="H1" s="9">
        <v>2013</v>
      </c>
      <c r="I1" s="9">
        <v>2014</v>
      </c>
      <c r="J1" s="9">
        <v>2015</v>
      </c>
      <c r="K1" s="9">
        <v>2016</v>
      </c>
      <c r="L1" s="9">
        <v>2017</v>
      </c>
      <c r="M1" s="9">
        <v>2018</v>
      </c>
      <c r="N1" s="9">
        <v>2019</v>
      </c>
      <c r="O1" s="9">
        <v>2020</v>
      </c>
      <c r="P1" s="9">
        <v>2021</v>
      </c>
      <c r="Q1" s="9" t="s">
        <v>409</v>
      </c>
      <c r="R1" s="9" t="s">
        <v>410</v>
      </c>
      <c r="S1" s="9" t="s">
        <v>411</v>
      </c>
    </row>
    <row r="2" spans="2:19" ht="57.95" customHeight="1" x14ac:dyDescent="0.25">
      <c r="B2" s="5" t="s">
        <v>412</v>
      </c>
      <c r="C2" s="6" t="s">
        <v>413</v>
      </c>
      <c r="D2" s="6" t="s">
        <v>414</v>
      </c>
      <c r="E2" s="14"/>
      <c r="F2" s="8">
        <f>HKSE_00823!B157/HKSE_00823!B69</f>
        <v>6.5861690450054883E-3</v>
      </c>
      <c r="G2" s="8">
        <f>HKSE_00823!C157/HKSE_00823!C69</f>
        <v>5.9737156511350063E-3</v>
      </c>
      <c r="H2" s="8">
        <f>HKSE_00823!D157/HKSE_00823!D69</f>
        <v>5.8492201039861353E-3</v>
      </c>
      <c r="I2" s="8">
        <f>HKSE_00823!E157/HKSE_00823!E69</f>
        <v>3.8446751249519417E-3</v>
      </c>
      <c r="J2" s="8">
        <f>HKSE_00823!F157/HKSE_00823!F69</f>
        <v>4.0571529370259304E-3</v>
      </c>
      <c r="K2" s="8">
        <f>HKSE_00823!G157/HKSE_00823!G69</f>
        <v>3.3778596652848151E-3</v>
      </c>
      <c r="L2" s="8">
        <f>HKSE_00823!H157/HKSE_00823!H69</f>
        <v>3.8604518158421503E-3</v>
      </c>
      <c r="M2" s="8">
        <f>HKSE_00823!I157/HKSE_00823!I69</f>
        <v>2.6099438862064468E-3</v>
      </c>
      <c r="N2" s="8">
        <f>HKSE_00823!J157/HKSE_00823!J69</f>
        <v>2.8612303290414878E-3</v>
      </c>
      <c r="O2" s="8">
        <f>HKSE_00823!K157/HKSE_00823!K69</f>
        <v>9.1240875912408752E-3</v>
      </c>
      <c r="P2" s="8">
        <f>HKSE_00823!L157/HKSE_00823!L69</f>
        <v>1.1046370478271426E-2</v>
      </c>
      <c r="Q2" s="8">
        <f>HKSE_00823!M157/HKSE_00823!M69</f>
        <v>0</v>
      </c>
      <c r="R2" s="4"/>
      <c r="S2" s="13">
        <f>AVERAGE(F2:P2)</f>
        <v>5.3809887843628808E-3</v>
      </c>
    </row>
    <row r="3" spans="2:19" ht="57.95" customHeight="1" x14ac:dyDescent="0.25">
      <c r="B3" s="5" t="s">
        <v>415</v>
      </c>
      <c r="C3" s="6" t="s">
        <v>416</v>
      </c>
      <c r="D3" s="6" t="s">
        <v>417</v>
      </c>
      <c r="E3" s="14"/>
      <c r="F3" s="8">
        <f>HKSE_00823!B85/HKSE_00823!B67</f>
        <v>2.8544741266579488</v>
      </c>
      <c r="G3" s="8">
        <f>HKSE_00823!C85/HKSE_00823!C67</f>
        <v>1.6186783546864465</v>
      </c>
      <c r="H3" s="8">
        <f>HKSE_00823!D85/HKSE_00823!D67</f>
        <v>3.2373193974792498</v>
      </c>
      <c r="I3" s="8">
        <f>HKSE_00823!E85/HKSE_00823!E67</f>
        <v>2.4185883997204751</v>
      </c>
      <c r="J3" s="8">
        <f>HKSE_00823!F85/HKSE_00823!F67</f>
        <v>3.5258319305969184</v>
      </c>
      <c r="K3" s="8">
        <f>HKSE_00823!G85/HKSE_00823!G67</f>
        <v>1.8644164759725401</v>
      </c>
      <c r="L3" s="8">
        <f>HKSE_00823!H85/HKSE_00823!H67</f>
        <v>1.9136682874122095</v>
      </c>
      <c r="M3" s="8">
        <f>HKSE_00823!I85/HKSE_00823!I67</f>
        <v>4.7651401775915394</v>
      </c>
      <c r="N3" s="8">
        <f>HKSE_00823!J85/HKSE_00823!J67</f>
        <v>2.02540599780811</v>
      </c>
      <c r="O3" s="8">
        <f>HKSE_00823!K85/HKSE_00823!K67</f>
        <v>-1.597499533495055</v>
      </c>
      <c r="P3" s="8">
        <f>HKSE_00823!L85/HKSE_00823!L67</f>
        <v>0.11029411764705882</v>
      </c>
      <c r="Q3" s="8">
        <f>HKSE_00823!M85/HKSE_00823!M67</f>
        <v>0.11029411764705882</v>
      </c>
      <c r="R3" s="4"/>
      <c r="S3" s="13">
        <f t="shared" ref="S3:S49" si="0">AVERAGE(F3:P3)</f>
        <v>2.0669379756434041</v>
      </c>
    </row>
    <row r="4" spans="2:19" ht="57.95" customHeight="1" x14ac:dyDescent="0.25">
      <c r="B4" s="6" t="s">
        <v>418</v>
      </c>
      <c r="C4" s="6" t="s">
        <v>419</v>
      </c>
      <c r="D4" s="6" t="s">
        <v>420</v>
      </c>
      <c r="E4" s="14"/>
      <c r="F4" s="8">
        <f>HKSE_00823!B69/HKSE_00823!B67</f>
        <v>0.68073977209041658</v>
      </c>
      <c r="G4" s="8">
        <f>HKSE_00823!C69/HKSE_00823!C67</f>
        <v>0.70549561699258256</v>
      </c>
      <c r="H4" s="8">
        <f>HKSE_00823!D69/HKSE_00823!D67</f>
        <v>0.70949892407008919</v>
      </c>
      <c r="I4" s="8">
        <f>HKSE_00823!E69/HKSE_00823!E67</f>
        <v>0.72704402515723265</v>
      </c>
      <c r="J4" s="8">
        <f>HKSE_00823!F69/HKSE_00823!F67</f>
        <v>0.73404117570892136</v>
      </c>
      <c r="K4" s="8">
        <f>HKSE_00823!G69/HKSE_00823!G67</f>
        <v>0.74519450800915332</v>
      </c>
      <c r="L4" s="8">
        <f>HKSE_00823!H69/HKSE_00823!H67</f>
        <v>0.75569962182604</v>
      </c>
      <c r="M4" s="8">
        <f>HKSE_00823!I69/HKSE_00823!I67</f>
        <v>0.76454155442482286</v>
      </c>
      <c r="N4" s="8">
        <f>HKSE_00823!J69/HKSE_00823!J67</f>
        <v>0.76606555743748128</v>
      </c>
      <c r="O4" s="8">
        <f>HKSE_00823!K69/HKSE_00823!K67</f>
        <v>0.76693412950177275</v>
      </c>
      <c r="P4" s="8">
        <f>HKSE_00823!L69/HKSE_00823!L67</f>
        <v>0.76675353685778114</v>
      </c>
      <c r="Q4" s="8">
        <f>HKSE_00823!M69/HKSE_00823!M67</f>
        <v>0.76675353685778114</v>
      </c>
      <c r="R4" s="4"/>
      <c r="S4" s="13">
        <f t="shared" si="0"/>
        <v>0.73836440200693587</v>
      </c>
    </row>
    <row r="5" spans="2:19" ht="57.95" customHeight="1" x14ac:dyDescent="0.25">
      <c r="B5" s="6" t="s">
        <v>421</v>
      </c>
      <c r="C5" s="6" t="s">
        <v>422</v>
      </c>
      <c r="D5" s="6" t="s">
        <v>423</v>
      </c>
      <c r="E5" s="14"/>
      <c r="F5" s="8">
        <f>HKSE_00823!B74/HKSE_00823!B67</f>
        <v>0.64786101251634598</v>
      </c>
      <c r="G5" s="8">
        <f>HKSE_00823!C74/HKSE_00823!C67</f>
        <v>0.66014834794335808</v>
      </c>
      <c r="H5" s="8">
        <f>HKSE_00823!D74/HKSE_00823!D67</f>
        <v>0.67522287119581925</v>
      </c>
      <c r="I5" s="8">
        <f>HKSE_00823!E74/HKSE_00823!E67</f>
        <v>0.69601677148846963</v>
      </c>
      <c r="J5" s="8">
        <f>HKSE_00823!F74/HKSE_00823!F67</f>
        <v>0.67745694678233848</v>
      </c>
      <c r="K5" s="8">
        <f>HKSE_00823!G74/HKSE_00823!G67</f>
        <v>0.70308924485125857</v>
      </c>
      <c r="L5" s="8">
        <f>HKSE_00823!H74/HKSE_00823!H67</f>
        <v>0.71874662344678553</v>
      </c>
      <c r="M5" s="8">
        <f>HKSE_00823!I74/HKSE_00823!I67</f>
        <v>0.72293724433802253</v>
      </c>
      <c r="N5" s="8">
        <f>HKSE_00823!J74/HKSE_00823!J67</f>
        <v>0.72571485503636546</v>
      </c>
      <c r="O5" s="8">
        <f>HKSE_00823!K74/HKSE_00823!K67</f>
        <v>0.72812091808173163</v>
      </c>
      <c r="P5" s="8">
        <f>HKSE_00823!L74/HKSE_00823!L67</f>
        <v>0.72691734921816831</v>
      </c>
      <c r="Q5" s="8">
        <f>HKSE_00823!M74/HKSE_00823!M67</f>
        <v>0.72691734921816831</v>
      </c>
      <c r="R5" s="4"/>
      <c r="S5" s="13">
        <f t="shared" si="0"/>
        <v>0.69838474408169671</v>
      </c>
    </row>
    <row r="6" spans="2:19" ht="57.95" customHeight="1" x14ac:dyDescent="0.25">
      <c r="B6" s="5" t="s">
        <v>145</v>
      </c>
      <c r="C6" s="6" t="s">
        <v>424</v>
      </c>
      <c r="D6" s="6" t="s">
        <v>425</v>
      </c>
      <c r="E6" s="14"/>
      <c r="F6" s="4">
        <f>HKSE_00823!B25</f>
        <v>6.89</v>
      </c>
      <c r="G6" s="4">
        <f>HKSE_00823!C25</f>
        <v>4.2699999999999996</v>
      </c>
      <c r="H6" s="4">
        <f>HKSE_00823!D25</f>
        <v>9.23</v>
      </c>
      <c r="I6" s="4">
        <f>HKSE_00823!E25</f>
        <v>7.51</v>
      </c>
      <c r="J6" s="4">
        <f>HKSE_00823!F25</f>
        <v>11.82</v>
      </c>
      <c r="K6" s="4">
        <f>HKSE_00823!G25</f>
        <v>7.19</v>
      </c>
      <c r="L6" s="4">
        <f>HKSE_00823!H25</f>
        <v>7.93</v>
      </c>
      <c r="M6" s="4">
        <f>HKSE_00823!I25</f>
        <v>21.69</v>
      </c>
      <c r="N6" s="4">
        <f>HKSE_00823!J25</f>
        <v>9.56</v>
      </c>
      <c r="O6" s="4">
        <f>HKSE_00823!K25</f>
        <v>-8.17</v>
      </c>
      <c r="P6" s="4">
        <f>HKSE_00823!L25</f>
        <v>0.56999999999999995</v>
      </c>
      <c r="Q6" s="4">
        <f>HKSE_00823!M25</f>
        <v>0.57000000000000006</v>
      </c>
      <c r="R6" s="4"/>
      <c r="S6" s="10">
        <f t="shared" si="0"/>
        <v>7.1354545454545448</v>
      </c>
    </row>
    <row r="7" spans="2:19" ht="57.95" customHeight="1" x14ac:dyDescent="0.25">
      <c r="B7" s="5" t="s">
        <v>426</v>
      </c>
      <c r="C7" s="6"/>
      <c r="D7" s="6" t="s">
        <v>423</v>
      </c>
      <c r="E7" s="14"/>
      <c r="F7" s="4">
        <f>HKSE_00823!B21</f>
        <v>2.4140000000000001</v>
      </c>
      <c r="G7" s="4">
        <f>HKSE_00823!C21</f>
        <v>2.637</v>
      </c>
      <c r="H7" s="4">
        <f>HKSE_00823!D21</f>
        <v>2.8519999999999999</v>
      </c>
      <c r="I7" s="4">
        <f>HKSE_00823!E21</f>
        <v>3.1040000000000001</v>
      </c>
      <c r="J7" s="4">
        <f>HKSE_00823!F21</f>
        <v>3.3530000000000002</v>
      </c>
      <c r="K7" s="4">
        <f>HKSE_00823!G21</f>
        <v>3.851</v>
      </c>
      <c r="L7" s="4">
        <f>HKSE_00823!H21</f>
        <v>4.1420000000000003</v>
      </c>
      <c r="M7" s="4">
        <f>HKSE_00823!I21</f>
        <v>4.5529999999999999</v>
      </c>
      <c r="N7" s="4">
        <f>HKSE_00823!J21</f>
        <v>4.72</v>
      </c>
      <c r="O7" s="4">
        <f>HKSE_00823!K21</f>
        <v>5.1130000000000004</v>
      </c>
      <c r="P7" s="4">
        <f>HKSE_00823!L21</f>
        <v>5.1980000000000004</v>
      </c>
      <c r="Q7" s="4">
        <f>HKSE_00823!M21</f>
        <v>5.1980000000000004</v>
      </c>
      <c r="R7" s="4"/>
      <c r="S7" s="10">
        <f t="shared" si="0"/>
        <v>3.8124545454545458</v>
      </c>
    </row>
    <row r="8" spans="2:19" ht="57.95" customHeight="1" x14ac:dyDescent="0.25">
      <c r="B8" s="5" t="s">
        <v>427</v>
      </c>
      <c r="C8" s="6"/>
      <c r="D8" s="6"/>
      <c r="E8" s="14"/>
      <c r="F8" s="4">
        <f>HKSE_00823!B89</f>
        <v>2217.453</v>
      </c>
      <c r="G8" s="4">
        <f>HKSE_00823!C89</f>
        <v>2249.4560000000001</v>
      </c>
      <c r="H8" s="4">
        <f>HKSE_00823!D89</f>
        <v>2281.11</v>
      </c>
      <c r="I8" s="4">
        <f>HKSE_00823!E89</f>
        <v>2305.3200000000002</v>
      </c>
      <c r="J8" s="4">
        <f>HKSE_00823!F89</f>
        <v>2303.6469999999999</v>
      </c>
      <c r="K8" s="4">
        <f>HKSE_00823!G89</f>
        <v>2269.4340000000002</v>
      </c>
      <c r="L8" s="4">
        <f>HKSE_00823!H89</f>
        <v>2234.29</v>
      </c>
      <c r="M8" s="4">
        <f>HKSE_00823!I89</f>
        <v>2201.5859999999998</v>
      </c>
      <c r="N8" s="4">
        <f>HKSE_00823!J89</f>
        <v>2126.3339999999998</v>
      </c>
      <c r="O8" s="4">
        <f>HKSE_00823!K89</f>
        <v>2096.2440000000001</v>
      </c>
      <c r="P8" s="4">
        <f>HKSE_00823!L89</f>
        <v>2066.8809999999999</v>
      </c>
      <c r="Q8" s="4">
        <f>HKSE_00823!M89</f>
        <v>2072.4349999999999</v>
      </c>
      <c r="R8" s="4"/>
      <c r="S8" s="10">
        <f t="shared" si="0"/>
        <v>2213.7959090909094</v>
      </c>
    </row>
    <row r="9" spans="2:19" ht="57.95" customHeight="1" x14ac:dyDescent="0.25">
      <c r="B9" s="5" t="s">
        <v>428</v>
      </c>
      <c r="C9" s="6"/>
      <c r="D9" s="6"/>
      <c r="E9" s="14"/>
      <c r="F9" s="4">
        <f>HKSE_00823!B85</f>
        <v>15280</v>
      </c>
      <c r="G9" s="4">
        <f>HKSE_00823!C85</f>
        <v>9602</v>
      </c>
      <c r="H9" s="4">
        <f>HKSE_00823!D85</f>
        <v>21062</v>
      </c>
      <c r="I9" s="4">
        <f>HKSE_00823!E85</f>
        <v>17305</v>
      </c>
      <c r="J9" s="4">
        <f>HKSE_00823!F85</f>
        <v>27230</v>
      </c>
      <c r="K9" s="4">
        <f>HKSE_00823!G85</f>
        <v>16295</v>
      </c>
      <c r="L9" s="4">
        <f>HKSE_00823!H85</f>
        <v>17711</v>
      </c>
      <c r="M9" s="4">
        <f>HKSE_00823!I85</f>
        <v>47761</v>
      </c>
      <c r="N9" s="4">
        <f>HKSE_00823!J85</f>
        <v>20329</v>
      </c>
      <c r="O9" s="4">
        <f>HKSE_00823!K85</f>
        <v>-17122</v>
      </c>
      <c r="P9" s="4">
        <f>HKSE_00823!L85</f>
        <v>1185</v>
      </c>
      <c r="Q9" s="4">
        <f>HKSE_00823!M85</f>
        <v>1185</v>
      </c>
      <c r="R9" s="4"/>
      <c r="S9" s="10">
        <f t="shared" si="0"/>
        <v>16058</v>
      </c>
    </row>
    <row r="10" spans="2:19" ht="57.95" customHeight="1" x14ac:dyDescent="0.25">
      <c r="B10" s="6" t="s">
        <v>429</v>
      </c>
      <c r="C10" s="6"/>
      <c r="D10" s="6"/>
      <c r="E10" s="15"/>
      <c r="F10" s="4"/>
      <c r="G10" s="8">
        <f>(G9-F9)/F9</f>
        <v>-0.37159685863874348</v>
      </c>
      <c r="H10" s="8">
        <f t="shared" ref="H10:Q10" si="1">(H9-G9)/G9</f>
        <v>1.1935013538846073</v>
      </c>
      <c r="I10" s="8">
        <f t="shared" si="1"/>
        <v>-0.17837812173582757</v>
      </c>
      <c r="J10" s="8">
        <f t="shared" si="1"/>
        <v>0.57353366079167867</v>
      </c>
      <c r="K10" s="8">
        <f t="shared" si="1"/>
        <v>-0.40157914065369077</v>
      </c>
      <c r="L10" s="8">
        <f t="shared" si="1"/>
        <v>8.6897821417612764E-2</v>
      </c>
      <c r="M10" s="8">
        <f t="shared" si="1"/>
        <v>1.6966856755688555</v>
      </c>
      <c r="N10" s="8">
        <f t="shared" si="1"/>
        <v>-0.57435983333682294</v>
      </c>
      <c r="O10" s="8">
        <f t="shared" si="1"/>
        <v>-1.8422450686211815</v>
      </c>
      <c r="P10" s="8">
        <f>-(P9-O9)/O9</f>
        <v>1.0692092045321808</v>
      </c>
      <c r="Q10" s="8">
        <f t="shared" si="1"/>
        <v>0</v>
      </c>
      <c r="R10" s="4"/>
      <c r="S10" s="13">
        <f t="shared" si="0"/>
        <v>0.12516686932086685</v>
      </c>
    </row>
    <row r="11" spans="2:19" ht="57.95" customHeight="1" x14ac:dyDescent="0.25">
      <c r="B11" s="6" t="s">
        <v>430</v>
      </c>
      <c r="C11" s="6"/>
      <c r="D11" s="6"/>
      <c r="E11" s="14"/>
      <c r="F11" s="4">
        <f>HKSE_00823!B67</f>
        <v>5353</v>
      </c>
      <c r="G11" s="4">
        <f>HKSE_00823!C67</f>
        <v>5932</v>
      </c>
      <c r="H11" s="4">
        <f>HKSE_00823!D67</f>
        <v>6506</v>
      </c>
      <c r="I11" s="4">
        <f>HKSE_00823!E67</f>
        <v>7155</v>
      </c>
      <c r="J11" s="4">
        <f>HKSE_00823!F67</f>
        <v>7723</v>
      </c>
      <c r="K11" s="4">
        <f>HKSE_00823!G67</f>
        <v>8740</v>
      </c>
      <c r="L11" s="4">
        <f>HKSE_00823!H67</f>
        <v>9255</v>
      </c>
      <c r="M11" s="4">
        <f>HKSE_00823!I67</f>
        <v>10023</v>
      </c>
      <c r="N11" s="4">
        <f>HKSE_00823!J67</f>
        <v>10037</v>
      </c>
      <c r="O11" s="4">
        <f>HKSE_00823!K67</f>
        <v>10718</v>
      </c>
      <c r="P11" s="4">
        <f>HKSE_00823!L67</f>
        <v>10744</v>
      </c>
      <c r="Q11" s="4">
        <f>HKSE_00823!M67</f>
        <v>10744</v>
      </c>
      <c r="R11" s="4"/>
      <c r="S11" s="10">
        <f t="shared" si="0"/>
        <v>8380.545454545454</v>
      </c>
    </row>
    <row r="12" spans="2:19" ht="57.95" customHeight="1" x14ac:dyDescent="0.25">
      <c r="B12" s="6" t="s">
        <v>431</v>
      </c>
      <c r="C12" s="6"/>
      <c r="D12" s="6"/>
      <c r="E12" s="15"/>
      <c r="F12" s="4"/>
      <c r="G12" s="8">
        <f>(G11-F11)/F11</f>
        <v>0.10816364655333457</v>
      </c>
      <c r="H12" s="8">
        <f t="shared" ref="H12:Q12" si="2">(H11-G11)/G11</f>
        <v>9.6763317599460552E-2</v>
      </c>
      <c r="I12" s="8">
        <f t="shared" si="2"/>
        <v>9.9754073163233939E-2</v>
      </c>
      <c r="J12" s="8">
        <f t="shared" si="2"/>
        <v>7.938504542278127E-2</v>
      </c>
      <c r="K12" s="8">
        <f t="shared" si="2"/>
        <v>0.13168457853165869</v>
      </c>
      <c r="L12" s="8">
        <f t="shared" si="2"/>
        <v>5.8924485125858121E-2</v>
      </c>
      <c r="M12" s="8">
        <f t="shared" si="2"/>
        <v>8.2982171799027546E-2</v>
      </c>
      <c r="N12" s="8">
        <f t="shared" si="2"/>
        <v>1.3967873890052879E-3</v>
      </c>
      <c r="O12" s="8">
        <f t="shared" si="2"/>
        <v>6.7848958852246691E-2</v>
      </c>
      <c r="P12" s="8">
        <f t="shared" si="2"/>
        <v>2.4258257137525657E-3</v>
      </c>
      <c r="Q12" s="8">
        <f t="shared" si="2"/>
        <v>0</v>
      </c>
      <c r="R12" s="4"/>
      <c r="S12" s="13">
        <f t="shared" si="0"/>
        <v>7.2932889015035945E-2</v>
      </c>
    </row>
    <row r="13" spans="2:19" ht="57.95" customHeight="1" x14ac:dyDescent="0.25">
      <c r="B13" s="6" t="s">
        <v>432</v>
      </c>
      <c r="C13" s="6"/>
      <c r="D13" s="6"/>
      <c r="E13" s="14"/>
      <c r="F13" s="4">
        <f>HKSE_00823!B68</f>
        <v>1709</v>
      </c>
      <c r="G13" s="4">
        <f>HKSE_00823!C68</f>
        <v>1747</v>
      </c>
      <c r="H13" s="4">
        <f>HKSE_00823!D68</f>
        <v>1890</v>
      </c>
      <c r="I13" s="4">
        <f>HKSE_00823!E68</f>
        <v>1953</v>
      </c>
      <c r="J13" s="4">
        <f>HKSE_00823!F68</f>
        <v>2054</v>
      </c>
      <c r="K13" s="4">
        <f>HKSE_00823!G68</f>
        <v>2227</v>
      </c>
      <c r="L13" s="4">
        <f>HKSE_00823!H68</f>
        <v>2261</v>
      </c>
      <c r="M13" s="4">
        <f>HKSE_00823!I68</f>
        <v>2360</v>
      </c>
      <c r="N13" s="4">
        <f>HKSE_00823!J68</f>
        <v>2348</v>
      </c>
      <c r="O13" s="4">
        <f>HKSE_00823!K68</f>
        <v>2498</v>
      </c>
      <c r="P13" s="4">
        <f>HKSE_00823!L68</f>
        <v>2506</v>
      </c>
      <c r="Q13" s="4">
        <f>HKSE_00823!M68</f>
        <v>2506</v>
      </c>
      <c r="R13" s="4"/>
      <c r="S13" s="10">
        <f t="shared" si="0"/>
        <v>2141.181818181818</v>
      </c>
    </row>
    <row r="14" spans="2:19" ht="57.95" customHeight="1" x14ac:dyDescent="0.25">
      <c r="B14" s="6" t="s">
        <v>433</v>
      </c>
      <c r="C14" s="6"/>
      <c r="D14" s="6"/>
      <c r="E14" s="14"/>
      <c r="F14" s="4"/>
      <c r="G14" s="8">
        <f>(G13-F13)/F13</f>
        <v>2.2235225277940317E-2</v>
      </c>
      <c r="H14" s="8">
        <f t="shared" ref="H14:Q14" si="3">(H13-G13)/G13</f>
        <v>8.1854607899255874E-2</v>
      </c>
      <c r="I14" s="8">
        <f t="shared" si="3"/>
        <v>3.3333333333333333E-2</v>
      </c>
      <c r="J14" s="8">
        <f t="shared" si="3"/>
        <v>5.1715309779825906E-2</v>
      </c>
      <c r="K14" s="8">
        <f t="shared" si="3"/>
        <v>8.4225900681596882E-2</v>
      </c>
      <c r="L14" s="8">
        <f t="shared" si="3"/>
        <v>1.5267175572519083E-2</v>
      </c>
      <c r="M14" s="8">
        <f t="shared" si="3"/>
        <v>4.37859354268023E-2</v>
      </c>
      <c r="N14" s="8">
        <f t="shared" si="3"/>
        <v>-5.084745762711864E-3</v>
      </c>
      <c r="O14" s="8">
        <f t="shared" si="3"/>
        <v>6.388415672913117E-2</v>
      </c>
      <c r="P14" s="8">
        <f t="shared" si="3"/>
        <v>3.2025620496397116E-3</v>
      </c>
      <c r="Q14" s="8">
        <f t="shared" si="3"/>
        <v>0</v>
      </c>
      <c r="R14" s="4"/>
      <c r="S14" s="13">
        <f t="shared" si="0"/>
        <v>3.9441946098733277E-2</v>
      </c>
    </row>
    <row r="15" spans="2:19" ht="57.95" customHeight="1" x14ac:dyDescent="0.25">
      <c r="B15" s="6" t="s">
        <v>434</v>
      </c>
      <c r="C15" s="6"/>
      <c r="D15" s="6"/>
      <c r="E15" s="14"/>
      <c r="F15" s="4">
        <f>HKSE_00823!B107</f>
        <v>0</v>
      </c>
      <c r="G15" s="4">
        <f>HKSE_00823!C107</f>
        <v>0</v>
      </c>
      <c r="H15" s="4">
        <f>HKSE_00823!D107</f>
        <v>0</v>
      </c>
      <c r="I15" s="4">
        <f>HKSE_00823!E107</f>
        <v>0</v>
      </c>
      <c r="J15" s="4">
        <f>HKSE_00823!F107</f>
        <v>0</v>
      </c>
      <c r="K15" s="4">
        <f>HKSE_00823!G107</f>
        <v>3060</v>
      </c>
      <c r="L15" s="4">
        <f>HKSE_00823!H107</f>
        <v>0</v>
      </c>
      <c r="M15" s="4">
        <f>HKSE_00823!I107</f>
        <v>0</v>
      </c>
      <c r="N15" s="4">
        <f>HKSE_00823!J107</f>
        <v>0</v>
      </c>
      <c r="O15" s="4">
        <f>HKSE_00823!K107</f>
        <v>0</v>
      </c>
      <c r="P15" s="4">
        <f>HKSE_00823!L107</f>
        <v>0</v>
      </c>
      <c r="Q15" s="4">
        <f>HKSE_00823!M107</f>
        <v>0</v>
      </c>
      <c r="R15" s="4"/>
      <c r="S15" s="10">
        <f t="shared" si="0"/>
        <v>278.18181818181819</v>
      </c>
    </row>
    <row r="16" spans="2:19" ht="57.95" customHeight="1" x14ac:dyDescent="0.25">
      <c r="B16" s="6" t="s">
        <v>435</v>
      </c>
      <c r="C16" s="6"/>
      <c r="D16" s="6"/>
      <c r="E16" s="14"/>
      <c r="F16" s="4">
        <v>0</v>
      </c>
      <c r="G16" s="4">
        <v>0</v>
      </c>
      <c r="H16" s="4">
        <v>0</v>
      </c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/>
      <c r="S16" s="10">
        <f t="shared" si="0"/>
        <v>0</v>
      </c>
    </row>
    <row r="17" spans="2:19" ht="57.95" customHeight="1" x14ac:dyDescent="0.25">
      <c r="B17" s="6" t="s">
        <v>436</v>
      </c>
      <c r="C17" s="6" t="s">
        <v>436</v>
      </c>
      <c r="D17" s="6" t="s">
        <v>437</v>
      </c>
      <c r="E17" s="14"/>
      <c r="F17" s="8">
        <f>HKSE_00823!B97/HKSE_00823!B67</f>
        <v>0</v>
      </c>
      <c r="G17" s="8">
        <f>HKSE_00823!C97/HKSE_00823!C67</f>
        <v>8.9345920431557653E-3</v>
      </c>
      <c r="H17" s="8">
        <f>HKSE_00823!D97/HKSE_00823!D67</f>
        <v>1.0913003381494006E-2</v>
      </c>
      <c r="I17" s="8">
        <f>HKSE_00823!E97/HKSE_00823!E67</f>
        <v>9.0845562543675745E-3</v>
      </c>
      <c r="J17" s="8">
        <f>HKSE_00823!F97/HKSE_00823!F67</f>
        <v>1.2300919331865855E-2</v>
      </c>
      <c r="K17" s="8">
        <f>HKSE_00823!G97/HKSE_00823!G67</f>
        <v>1.0526315789473684E-2</v>
      </c>
      <c r="L17" s="8">
        <f>HKSE_00823!H97/HKSE_00823!H67</f>
        <v>8.4278768233387365E-3</v>
      </c>
      <c r="M17" s="8">
        <f>HKSE_00823!I97/HKSE_00823!I67</f>
        <v>1.0575675945325751E-2</v>
      </c>
      <c r="N17" s="8">
        <f>HKSE_00823!J97/HKSE_00823!J67</f>
        <v>1.105908139882435E-2</v>
      </c>
      <c r="O17" s="8">
        <f>HKSE_00823!K97/HKSE_00823!K67</f>
        <v>1.9593207688001494E-2</v>
      </c>
      <c r="P17" s="8">
        <f>HKSE_00823!L97/HKSE_00823!L67</f>
        <v>2.3548026805658973E-2</v>
      </c>
      <c r="Q17" s="8">
        <f>HKSE_00823!M97/HKSE_00823!M67</f>
        <v>2.3548026805658973E-2</v>
      </c>
      <c r="R17" s="4"/>
      <c r="S17" s="13">
        <f t="shared" si="0"/>
        <v>1.1360295951046016E-2</v>
      </c>
    </row>
    <row r="18" spans="2:19" ht="57.95" customHeight="1" x14ac:dyDescent="0.25">
      <c r="B18" s="6" t="s">
        <v>438</v>
      </c>
      <c r="C18" s="6" t="s">
        <v>439</v>
      </c>
      <c r="D18" s="6" t="s">
        <v>440</v>
      </c>
      <c r="E18" s="14"/>
      <c r="F18" s="8">
        <f>F19/F6</f>
        <v>0.14614223512336721</v>
      </c>
      <c r="G18" s="8">
        <f t="shared" ref="G18:Q18" si="4">G19/G6</f>
        <v>0.28266978922716635</v>
      </c>
      <c r="H18" s="8">
        <f t="shared" si="4"/>
        <v>0.1489599133261105</v>
      </c>
      <c r="I18" s="8">
        <f t="shared" si="4"/>
        <v>0.20719041278295608</v>
      </c>
      <c r="J18" s="8">
        <f t="shared" si="4"/>
        <v>0.14818104906937393</v>
      </c>
      <c r="K18" s="8">
        <f t="shared" si="4"/>
        <v>0.26741307371349093</v>
      </c>
      <c r="L18" s="8">
        <f t="shared" si="4"/>
        <v>0.27609079445145018</v>
      </c>
      <c r="M18" s="8">
        <f t="shared" si="4"/>
        <v>0.1098017519594283</v>
      </c>
      <c r="N18" s="8">
        <f t="shared" si="4"/>
        <v>0.27081589958158991</v>
      </c>
      <c r="O18" s="8">
        <f t="shared" si="4"/>
        <v>-0.34518971848225211</v>
      </c>
      <c r="P18" s="8">
        <f t="shared" si="4"/>
        <v>5.0415789473684214</v>
      </c>
      <c r="Q18" s="8">
        <f t="shared" si="4"/>
        <v>5.0415789473684214</v>
      </c>
      <c r="R18" s="4"/>
      <c r="S18" s="13">
        <f t="shared" si="0"/>
        <v>0.59578674073828208</v>
      </c>
    </row>
    <row r="19" spans="2:19" ht="57.95" customHeight="1" x14ac:dyDescent="0.25">
      <c r="B19" s="6" t="s">
        <v>441</v>
      </c>
      <c r="C19" s="6"/>
      <c r="D19" s="6"/>
      <c r="E19" s="14"/>
      <c r="F19" s="10">
        <f>HKSE_00823!B31</f>
        <v>1.00692</v>
      </c>
      <c r="G19" s="10">
        <f>HKSE_00823!C31</f>
        <v>1.2070000000000001</v>
      </c>
      <c r="H19" s="10">
        <f>HKSE_00823!D31</f>
        <v>1.3749</v>
      </c>
      <c r="I19" s="10">
        <f>HKSE_00823!E31</f>
        <v>1.556</v>
      </c>
      <c r="J19" s="10">
        <f>HKSE_00823!F31</f>
        <v>1.7515000000000001</v>
      </c>
      <c r="K19" s="10">
        <f>HKSE_00823!G31</f>
        <v>1.9227000000000001</v>
      </c>
      <c r="L19" s="10">
        <f>HKSE_00823!H31</f>
        <v>2.1894</v>
      </c>
      <c r="M19" s="10">
        <f>HKSE_00823!I31</f>
        <v>2.3816000000000002</v>
      </c>
      <c r="N19" s="10">
        <f>HKSE_00823!J31</f>
        <v>2.589</v>
      </c>
      <c r="O19" s="10">
        <f>HKSE_00823!K31</f>
        <v>2.8201999999999998</v>
      </c>
      <c r="P19" s="10">
        <f>HKSE_00823!L31</f>
        <v>2.8736999999999999</v>
      </c>
      <c r="Q19" s="10">
        <f>HKSE_00823!M31</f>
        <v>2.8737000000000004</v>
      </c>
      <c r="R19" s="4"/>
      <c r="S19" s="10">
        <f t="shared" si="0"/>
        <v>1.9702654545454548</v>
      </c>
    </row>
    <row r="20" spans="2:19" ht="57.95" customHeight="1" x14ac:dyDescent="0.25">
      <c r="B20" s="6" t="s">
        <v>442</v>
      </c>
      <c r="C20" s="6" t="s">
        <v>443</v>
      </c>
      <c r="D20" s="6"/>
      <c r="E20" s="14"/>
      <c r="F20" s="4">
        <f>HKSE_00823!B193</f>
        <v>3349</v>
      </c>
      <c r="G20" s="4">
        <f>HKSE_00823!C193</f>
        <v>3743</v>
      </c>
      <c r="H20" s="4">
        <f>HKSE_00823!D193</f>
        <v>4174</v>
      </c>
      <c r="I20" s="4">
        <f>HKSE_00823!E193</f>
        <v>4641</v>
      </c>
      <c r="J20" s="4">
        <f>HKSE_00823!F193</f>
        <v>4828</v>
      </c>
      <c r="K20" s="4">
        <f>HKSE_00823!G193</f>
        <v>5664</v>
      </c>
      <c r="L20" s="4">
        <f>HKSE_00823!H193</f>
        <v>6038</v>
      </c>
      <c r="M20" s="4">
        <f>HKSE_00823!I193</f>
        <v>6446</v>
      </c>
      <c r="N20" s="4">
        <f>HKSE_00823!J193</f>
        <v>5892</v>
      </c>
      <c r="O20" s="4">
        <f>HKSE_00823!K193</f>
        <v>6006</v>
      </c>
      <c r="P20" s="4">
        <f>HKSE_00823!L193</f>
        <v>7041</v>
      </c>
      <c r="Q20" s="4">
        <f>HKSE_00823!M193</f>
        <v>7041</v>
      </c>
      <c r="R20" s="4"/>
      <c r="S20" s="10">
        <f t="shared" si="0"/>
        <v>5256.545454545455</v>
      </c>
    </row>
    <row r="21" spans="2:19" ht="57.95" customHeight="1" x14ac:dyDescent="0.25">
      <c r="B21" s="6" t="s">
        <v>444</v>
      </c>
      <c r="C21" s="5" t="s">
        <v>445</v>
      </c>
      <c r="D21" s="6" t="s">
        <v>538</v>
      </c>
      <c r="E21" s="14"/>
      <c r="F21" s="8">
        <f>F20/F11</f>
        <v>0.62563048757705964</v>
      </c>
      <c r="G21" s="8">
        <f t="shared" ref="G21:Q21" si="5">G20/G11</f>
        <v>0.63098449089683073</v>
      </c>
      <c r="H21" s="8">
        <f t="shared" si="5"/>
        <v>0.64156163541346445</v>
      </c>
      <c r="I21" s="8">
        <f t="shared" si="5"/>
        <v>0.64863731656184487</v>
      </c>
      <c r="J21" s="8">
        <f t="shared" si="5"/>
        <v>0.62514566878156153</v>
      </c>
      <c r="K21" s="8">
        <f t="shared" si="5"/>
        <v>0.64805491990846686</v>
      </c>
      <c r="L21" s="8">
        <f t="shared" si="5"/>
        <v>0.65240410588870879</v>
      </c>
      <c r="M21" s="8">
        <f t="shared" si="5"/>
        <v>0.643120822109149</v>
      </c>
      <c r="N21" s="8">
        <f t="shared" si="5"/>
        <v>0.58702799641327086</v>
      </c>
      <c r="O21" s="8">
        <f t="shared" si="5"/>
        <v>0.56036573987684268</v>
      </c>
      <c r="P21" s="8">
        <f t="shared" si="5"/>
        <v>0.65534251675353683</v>
      </c>
      <c r="Q21" s="8">
        <f t="shared" si="5"/>
        <v>0.65534251675353683</v>
      </c>
      <c r="R21" s="4"/>
      <c r="S21" s="13">
        <f t="shared" si="0"/>
        <v>0.62893415456188517</v>
      </c>
    </row>
    <row r="22" spans="2:19" ht="57.95" customHeight="1" x14ac:dyDescent="0.25">
      <c r="B22" s="6" t="s">
        <v>446</v>
      </c>
      <c r="C22" s="5" t="s">
        <v>447</v>
      </c>
      <c r="D22" s="6" t="s">
        <v>448</v>
      </c>
      <c r="E22" s="14"/>
      <c r="F22" s="10">
        <f>F20/F8</f>
        <v>1.5102913116986019</v>
      </c>
      <c r="G22" s="10">
        <f t="shared" ref="G22:Q22" si="6">G20/G8</f>
        <v>1.6639578635901302</v>
      </c>
      <c r="H22" s="10">
        <f t="shared" si="6"/>
        <v>1.8298109253828179</v>
      </c>
      <c r="I22" s="10">
        <f t="shared" si="6"/>
        <v>2.0131695382853572</v>
      </c>
      <c r="J22" s="10">
        <f t="shared" si="6"/>
        <v>2.0958072135183907</v>
      </c>
      <c r="K22" s="10">
        <f t="shared" si="6"/>
        <v>2.4957764799505071</v>
      </c>
      <c r="L22" s="10">
        <f t="shared" si="6"/>
        <v>2.7024244838405043</v>
      </c>
      <c r="M22" s="10">
        <f t="shared" si="6"/>
        <v>2.9278892580167208</v>
      </c>
      <c r="N22" s="10">
        <f t="shared" si="6"/>
        <v>2.7709663674662592</v>
      </c>
      <c r="O22" s="10">
        <f t="shared" si="6"/>
        <v>2.8651244797838418</v>
      </c>
      <c r="P22" s="10">
        <f t="shared" si="6"/>
        <v>3.4065821883311136</v>
      </c>
      <c r="Q22" s="10">
        <f t="shared" si="6"/>
        <v>3.3974527548511775</v>
      </c>
      <c r="R22" s="4"/>
      <c r="S22" s="10">
        <f t="shared" si="0"/>
        <v>2.389254555442204</v>
      </c>
    </row>
    <row r="23" spans="2:19" ht="57.95" customHeight="1" x14ac:dyDescent="0.25">
      <c r="B23" s="6" t="s">
        <v>449</v>
      </c>
      <c r="C23" s="5" t="s">
        <v>450</v>
      </c>
      <c r="D23" s="6" t="s">
        <v>451</v>
      </c>
      <c r="E23" s="15"/>
      <c r="F23" s="11">
        <f>F20/(HKSE_00823!B139+HKSE_00823!B131)</f>
        <v>0.3226396917148362</v>
      </c>
      <c r="G23" s="11">
        <f>G20/(HKSE_00823!C139+HKSE_00823!C131)</f>
        <v>0.29718142119888846</v>
      </c>
      <c r="H23" s="11">
        <f>H20/(HKSE_00823!D139+HKSE_00823!D131)</f>
        <v>0.30838566678980422</v>
      </c>
      <c r="I23" s="11">
        <f>I20/(HKSE_00823!E139+HKSE_00823!E131)</f>
        <v>0.37056850846374961</v>
      </c>
      <c r="J23" s="11">
        <f>J20/(HKSE_00823!F139+HKSE_00823!F131)</f>
        <v>0.28283538371411832</v>
      </c>
      <c r="K23" s="11">
        <f>K20/(HKSE_00823!G139+HKSE_00823!G131)</f>
        <v>0.21036993017382261</v>
      </c>
      <c r="L23" s="11">
        <f>L20/(HKSE_00823!H139+HKSE_00823!H131)</f>
        <v>0.2195875913736044</v>
      </c>
      <c r="M23" s="11">
        <f>M20/(HKSE_00823!I139+HKSE_00823!I131)</f>
        <v>0.24999030444056622</v>
      </c>
      <c r="N23" s="11">
        <f>N20/(HKSE_00823!J139+HKSE_00823!J131)</f>
        <v>0.24330016104389479</v>
      </c>
      <c r="O23" s="11">
        <f>O20/(HKSE_00823!K139+HKSE_00823!K131)</f>
        <v>0.17359384935545408</v>
      </c>
      <c r="P23" s="11">
        <f>P20/(HKSE_00823!L139+HKSE_00823!L131)</f>
        <v>0.1822393622528212</v>
      </c>
      <c r="Q23" s="11">
        <f>Q20/(HKSE_00823!M139+HKSE_00823!M131)</f>
        <v>0.1822393622528212</v>
      </c>
      <c r="R23" s="4"/>
      <c r="S23" s="10">
        <f t="shared" si="0"/>
        <v>0.26006289732014176</v>
      </c>
    </row>
    <row r="24" spans="2:19" ht="57.95" customHeight="1" x14ac:dyDescent="0.25">
      <c r="B24" s="6" t="s">
        <v>452</v>
      </c>
      <c r="C24" s="5" t="s">
        <v>453</v>
      </c>
      <c r="D24" s="6" t="s">
        <v>451</v>
      </c>
      <c r="E24" s="14"/>
      <c r="F24" s="10">
        <f>F20/HKSE_00823!B131</f>
        <v>1.2890685142417244</v>
      </c>
      <c r="G24" s="12" t="s">
        <v>527</v>
      </c>
      <c r="H24" s="10">
        <f>H20/HKSE_00823!D131</f>
        <v>2.4466588511137162</v>
      </c>
      <c r="I24" s="10">
        <f>I20/HKSE_00823!E131</f>
        <v>1.6428318584070796</v>
      </c>
      <c r="J24" s="10">
        <f>J20/HKSE_00823!F131</f>
        <v>2.488659793814433</v>
      </c>
      <c r="K24" s="10">
        <f>K20/HKSE_00823!G131</f>
        <v>5.9061522419186652</v>
      </c>
      <c r="L24" s="10">
        <f>L20/HKSE_00823!H131</f>
        <v>20.126666666666665</v>
      </c>
      <c r="M24" s="10">
        <f>M20/HKSE_00823!I131</f>
        <v>2.4897643877945153</v>
      </c>
      <c r="N24" s="12" t="s">
        <v>527</v>
      </c>
      <c r="O24" s="12" t="s">
        <v>527</v>
      </c>
      <c r="P24" s="12" t="s">
        <v>527</v>
      </c>
      <c r="Q24" s="12" t="s">
        <v>527</v>
      </c>
      <c r="R24" s="4"/>
      <c r="S24" s="10">
        <f>AVERAGE(F24:P24)</f>
        <v>5.1985431877081139</v>
      </c>
    </row>
    <row r="25" spans="2:19" ht="57.95" customHeight="1" x14ac:dyDescent="0.25">
      <c r="B25" s="5" t="s">
        <v>454</v>
      </c>
      <c r="C25" s="5" t="s">
        <v>455</v>
      </c>
      <c r="D25" s="6" t="s">
        <v>456</v>
      </c>
      <c r="E25" s="15"/>
      <c r="F25" s="10">
        <f>HKSE_00823!B85/HKSE_00823!B139</f>
        <v>1.9635055255718323</v>
      </c>
      <c r="G25" s="10">
        <f>HKSE_00823!C85/HKSE_00823!C139</f>
        <v>0.76236601826121475</v>
      </c>
      <c r="H25" s="10">
        <f>HKSE_00823!D85/HKSE_00823!D139</f>
        <v>1.7805393524389213</v>
      </c>
      <c r="I25" s="10">
        <f>HKSE_00823!E85/HKSE_00823!E139</f>
        <v>1.7842045571708423</v>
      </c>
      <c r="J25" s="10">
        <f>HKSE_00823!F85/HKSE_00823!F139</f>
        <v>1.7997356245869134</v>
      </c>
      <c r="K25" s="10">
        <f>HKSE_00823!G85/HKSE_00823!G139</f>
        <v>0.62757558251492396</v>
      </c>
      <c r="L25" s="10">
        <f>HKSE_00823!H85/HKSE_00823!H139</f>
        <v>0.65121153068353133</v>
      </c>
      <c r="M25" s="10">
        <f>HKSE_00823!I85/HKSE_00823!I139</f>
        <v>2.0590187963441973</v>
      </c>
      <c r="N25" s="10">
        <f>HKSE_00823!J85/HKSE_00823!J139</f>
        <v>0.83945162489160507</v>
      </c>
      <c r="O25" s="10">
        <f>HKSE_00823!K85/HKSE_00823!K139</f>
        <v>-0.49488409734666744</v>
      </c>
      <c r="P25" s="10">
        <f>HKSE_00823!L85/HKSE_00823!L139</f>
        <v>3.0670876902370844E-2</v>
      </c>
      <c r="Q25" s="10">
        <f>HKSE_00823!M85/HKSE_00823!M139</f>
        <v>3.0670876902370844E-2</v>
      </c>
      <c r="R25" s="4"/>
      <c r="S25" s="10">
        <f t="shared" si="0"/>
        <v>1.0730359447290623</v>
      </c>
    </row>
    <row r="26" spans="2:19" ht="57.95" customHeight="1" x14ac:dyDescent="0.25">
      <c r="B26" s="6" t="s">
        <v>457</v>
      </c>
      <c r="C26" s="6" t="s">
        <v>458</v>
      </c>
      <c r="D26" s="6" t="s">
        <v>459</v>
      </c>
      <c r="E26" s="14"/>
      <c r="F26" s="10">
        <f>HKSE_00823!B144/HKSE_00823!B154</f>
        <v>0.2506412005457026</v>
      </c>
      <c r="G26" s="10">
        <f>HKSE_00823!C144/HKSE_00823!C154</f>
        <v>0.26285167769187856</v>
      </c>
      <c r="H26" s="10">
        <f>HKSE_00823!D144/HKSE_00823!D154</f>
        <v>0.21779231278018668</v>
      </c>
      <c r="I26" s="10">
        <f>HKSE_00823!E144/HKSE_00823!E154</f>
        <v>0.17763178379051592</v>
      </c>
      <c r="J26" s="10">
        <f>HKSE_00823!F144/HKSE_00823!F154</f>
        <v>0.21199600358999543</v>
      </c>
      <c r="K26" s="10">
        <f>HKSE_00823!G144/HKSE_00823!G154</f>
        <v>0.2825699735563908</v>
      </c>
      <c r="L26" s="10">
        <f>HKSE_00823!H144/HKSE_00823!H154</f>
        <v>0.27035242640634816</v>
      </c>
      <c r="M26" s="10">
        <f>HKSE_00823!I144/HKSE_00823!I154</f>
        <v>0.20850179819956666</v>
      </c>
      <c r="N26" s="10">
        <f>HKSE_00823!J144/HKSE_00823!J154</f>
        <v>0.19865734236185204</v>
      </c>
      <c r="O26" s="10">
        <f>HKSE_00823!K144/HKSE_00823!K154</f>
        <v>0.29667055965325356</v>
      </c>
      <c r="P26" s="10">
        <f>HKSE_00823!L144/HKSE_00823!L154</f>
        <v>0.32258511717593086</v>
      </c>
      <c r="Q26" s="10">
        <f>HKSE_00823!M144/HKSE_00823!M154</f>
        <v>0.32258511717593086</v>
      </c>
      <c r="R26" s="4"/>
      <c r="S26" s="10">
        <f t="shared" si="0"/>
        <v>0.2454772905228747</v>
      </c>
    </row>
    <row r="27" spans="2:19" ht="57.95" customHeight="1" x14ac:dyDescent="0.25">
      <c r="B27" s="5" t="s">
        <v>460</v>
      </c>
      <c r="C27" s="6" t="s">
        <v>461</v>
      </c>
      <c r="D27" s="6" t="s">
        <v>462</v>
      </c>
      <c r="E27" s="16"/>
      <c r="F27" s="10">
        <f>HKSE_00823!B109/HKSE_00823!B136</f>
        <v>0.22831549049595806</v>
      </c>
      <c r="G27" s="10">
        <f>HKSE_00823!C109/HKSE_00823!C136</f>
        <v>0.87082405345211578</v>
      </c>
      <c r="H27" s="10">
        <f>HKSE_00823!D109/HKSE_00823!D136</f>
        <v>0.8301572177227251</v>
      </c>
      <c r="I27" s="10">
        <f>HKSE_00823!E109/HKSE_00823!E136</f>
        <v>0.5598336948662328</v>
      </c>
      <c r="J27" s="10">
        <f>HKSE_00823!F109/HKSE_00823!F136</f>
        <v>0.78422131147540985</v>
      </c>
      <c r="K27" s="10">
        <f>HKSE_00823!G109/HKSE_00823!G136</f>
        <v>0.91725552769546392</v>
      </c>
      <c r="L27" s="10">
        <f>HKSE_00823!H109/HKSE_00823!H136</f>
        <v>0.31265447355412751</v>
      </c>
      <c r="M27" s="10">
        <f>HKSE_00823!I109/HKSE_00823!I136</f>
        <v>1.7303806228373702</v>
      </c>
      <c r="N27" s="10">
        <f>HKSE_00823!J109/HKSE_00823!J136</f>
        <v>3.0282398452611217</v>
      </c>
      <c r="O27" s="10">
        <f>HKSE_00823!K109/HKSE_00823!K136</f>
        <v>1.3476918759646415</v>
      </c>
      <c r="P27" s="10">
        <f>HKSE_00823!L109/HKSE_00823!L136</f>
        <v>0.97006931316950218</v>
      </c>
      <c r="Q27" s="10">
        <f>HKSE_00823!M109/HKSE_00823!M136</f>
        <v>0.97006931316950218</v>
      </c>
      <c r="R27" s="4"/>
      <c r="S27" s="10">
        <f t="shared" si="0"/>
        <v>1.0526948569540606</v>
      </c>
    </row>
    <row r="28" spans="2:19" ht="57.95" customHeight="1" x14ac:dyDescent="0.25">
      <c r="B28" s="5" t="s">
        <v>463</v>
      </c>
      <c r="C28" s="6" t="s">
        <v>464</v>
      </c>
      <c r="D28" s="6" t="s">
        <v>465</v>
      </c>
      <c r="E28" s="14"/>
      <c r="F28" s="8">
        <f>HKSE_00823!B139/HKSE_00823!B154</f>
        <v>0.14155525238744884</v>
      </c>
      <c r="G28" s="8">
        <f>HKSE_00823!C139/HKSE_00823!C154</f>
        <v>0.20076512313700487</v>
      </c>
      <c r="H28" s="8">
        <f>HKSE_00823!D139/HKSE_00823!D154</f>
        <v>0.14488866024840155</v>
      </c>
      <c r="I28" s="8">
        <f>HKSE_00823!E139/HKSE_00823!E154</f>
        <v>0.10066320017436249</v>
      </c>
      <c r="J28" s="8">
        <f>HKSE_00823!F139/HKSE_00823!F154</f>
        <v>0.12810526137537467</v>
      </c>
      <c r="K28" s="8">
        <f>HKSE_00823!G139/HKSE_00823!G154</f>
        <v>0.20374133912947953</v>
      </c>
      <c r="L28" s="8">
        <f>HKSE_00823!H139/HKSE_00823!H154</f>
        <v>0.19637248460255458</v>
      </c>
      <c r="M28" s="8">
        <f>HKSE_00823!I139/HKSE_00823!I154</f>
        <v>0.1295373824468917</v>
      </c>
      <c r="N28" s="8">
        <f>HKSE_00823!J139/HKSE_00823!J154</f>
        <v>0.12791164446510253</v>
      </c>
      <c r="O28" s="8">
        <f>HKSE_00823!K139/HKSE_00823!K154</f>
        <v>0.21607949187156891</v>
      </c>
      <c r="P28" s="8">
        <f>HKSE_00823!L139/HKSE_00823!L154</f>
        <v>0.24346379487438008</v>
      </c>
      <c r="Q28" s="8">
        <f>HKSE_00823!M139/HKSE_00823!M154</f>
        <v>0.24346379487438008</v>
      </c>
      <c r="R28" s="4"/>
      <c r="S28" s="13">
        <f t="shared" si="0"/>
        <v>0.16664396679205182</v>
      </c>
    </row>
    <row r="29" spans="2:19" ht="57.95" customHeight="1" x14ac:dyDescent="0.25">
      <c r="B29" s="5" t="s">
        <v>466</v>
      </c>
      <c r="C29" s="6" t="s">
        <v>467</v>
      </c>
      <c r="D29" s="6" t="s">
        <v>468</v>
      </c>
      <c r="E29" s="14"/>
      <c r="F29" s="8">
        <f>ABS(HKSE_00823!B76/HKSE_00823!B74)</f>
        <v>0.1444636678200692</v>
      </c>
      <c r="G29" s="8">
        <f>ABS(HKSE_00823!C76/HKSE_00823!C74)</f>
        <v>6.4351378958120528E-2</v>
      </c>
      <c r="H29" s="8">
        <f>ABS(HKSE_00823!D76/HKSE_00823!D74)</f>
        <v>7.5119508308672894E-2</v>
      </c>
      <c r="I29" s="8">
        <f>ABS(HKSE_00823!E76/HKSE_00823!E74)</f>
        <v>6.4056224899598391E-2</v>
      </c>
      <c r="J29" s="8">
        <f>ABS(HKSE_00823!F76/HKSE_00823!F74)</f>
        <v>6.5940366972477057E-2</v>
      </c>
      <c r="K29" s="8">
        <f>ABS(HKSE_00823!G76/HKSE_00823!G74)</f>
        <v>6.5093572009764039E-2</v>
      </c>
      <c r="L29" s="8">
        <f>ABS(HKSE_00823!H76/HKSE_00823!H74)</f>
        <v>5.4570054119061934E-2</v>
      </c>
      <c r="M29" s="8">
        <f>ABS(HKSE_00823!I76/HKSE_00823!I74)</f>
        <v>6.2379243720673473E-2</v>
      </c>
      <c r="N29" s="8">
        <f>ABS(HKSE_00823!J76/HKSE_00823!J74)</f>
        <v>5.9857221306974191E-2</v>
      </c>
      <c r="O29" s="8">
        <f>ABS(HKSE_00823!K76/HKSE_00823!K74)</f>
        <v>0.11340338288057407</v>
      </c>
      <c r="P29" s="8">
        <f>ABS(HKSE_00823!L76/HKSE_00823!L74)</f>
        <v>0.10793854033290654</v>
      </c>
      <c r="Q29" s="8">
        <f>ABS(HKSE_00823!M76/HKSE_00823!M74)</f>
        <v>0.10793854033290654</v>
      </c>
      <c r="R29" s="4"/>
      <c r="S29" s="13">
        <f t="shared" si="0"/>
        <v>7.9743014666262935E-2</v>
      </c>
    </row>
    <row r="30" spans="2:19" ht="57.95" customHeight="1" x14ac:dyDescent="0.25">
      <c r="B30" s="5" t="s">
        <v>469</v>
      </c>
      <c r="C30" s="6" t="s">
        <v>470</v>
      </c>
      <c r="D30" s="6" t="s">
        <v>471</v>
      </c>
      <c r="E30" s="14"/>
      <c r="F30" s="7">
        <f>HKSE_00823!B70/HKSE_00823!B69</f>
        <v>4.8298572996706916E-2</v>
      </c>
      <c r="G30" s="7">
        <f>HKSE_00823!C70/HKSE_00823!C69</f>
        <v>6.4277180406212664E-2</v>
      </c>
      <c r="H30" s="7">
        <f>HKSE_00823!D70/HKSE_00823!D69</f>
        <v>4.8310225303292896E-2</v>
      </c>
      <c r="I30" s="7">
        <f>HKSE_00823!E70/HKSE_00823!E69</f>
        <v>4.2675893886966548E-2</v>
      </c>
      <c r="J30" s="7">
        <f>HKSE_00823!F70/HKSE_00823!F69</f>
        <v>7.7085905803492685E-2</v>
      </c>
      <c r="K30" s="7">
        <f>HKSE_00823!G70/HKSE_00823!G69</f>
        <v>5.6502379855673267E-2</v>
      </c>
      <c r="L30" s="7">
        <f>HKSE_00823!H70/HKSE_00823!H69</f>
        <v>4.8899056334000573E-2</v>
      </c>
      <c r="M30" s="7">
        <f>HKSE_00823!I70/HKSE_00823!I69</f>
        <v>5.4417330027404412E-2</v>
      </c>
      <c r="N30" s="7">
        <f>HKSE_00823!J70/HKSE_00823!J69</f>
        <v>5.2672649239172843E-2</v>
      </c>
      <c r="O30" s="7">
        <f>HKSE_00823!K70/HKSE_00823!K69</f>
        <v>5.0608272506082727E-2</v>
      </c>
      <c r="P30" s="7">
        <f>HKSE_00823!L70/HKSE_00823!L69</f>
        <v>5.195435785384802E-2</v>
      </c>
      <c r="Q30" s="7">
        <f>HKSE_00823!M70/HKSE_00823!M69</f>
        <v>5.195435785384802E-2</v>
      </c>
      <c r="R30" s="4"/>
      <c r="S30" s="13">
        <f t="shared" si="0"/>
        <v>5.4154711292077599E-2</v>
      </c>
    </row>
    <row r="31" spans="2:19" ht="57.95" customHeight="1" x14ac:dyDescent="0.25">
      <c r="B31" s="6" t="s">
        <v>472</v>
      </c>
      <c r="C31" s="6" t="s">
        <v>473</v>
      </c>
      <c r="D31" s="6" t="s">
        <v>474</v>
      </c>
      <c r="E31" s="14"/>
      <c r="F31" s="8">
        <f>ABS(HKSE_00823!B192/HKSE_00823!B85)</f>
        <v>1.0471204188481676E-3</v>
      </c>
      <c r="G31" s="8">
        <f>ABS(HKSE_00823!C192/HKSE_00823!C85)</f>
        <v>2.8119141845448863E-3</v>
      </c>
      <c r="H31" s="8">
        <f>ABS(HKSE_00823!D192/HKSE_00823!D85)</f>
        <v>1.1869717975500902E-3</v>
      </c>
      <c r="I31" s="8">
        <f>ABS(HKSE_00823!E192/HKSE_00823!E85)</f>
        <v>1.0401618029471252E-3</v>
      </c>
      <c r="J31" s="8">
        <f>ABS(HKSE_00823!F192/HKSE_00823!F85)</f>
        <v>9.1810503121557104E-4</v>
      </c>
      <c r="K31" s="8">
        <f>ABS(HKSE_00823!G192/HKSE_00823!G85)</f>
        <v>1.104633323105247E-3</v>
      </c>
      <c r="L31" s="8">
        <f>ABS(HKSE_00823!H192/HKSE_00823!H85)</f>
        <v>2.2020213426683982E-3</v>
      </c>
      <c r="M31" s="8">
        <f>ABS(HKSE_00823!I192/HKSE_00823!I85)</f>
        <v>8.1656581729863274E-4</v>
      </c>
      <c r="N31" s="8">
        <f>ABS(HKSE_00823!J192/HKSE_00823!J85)</f>
        <v>2.4103497466673226E-3</v>
      </c>
      <c r="O31" s="8">
        <f>ABS(HKSE_00823!K192/HKSE_00823!K85)</f>
        <v>3.4049760541992755E-2</v>
      </c>
      <c r="P31" s="8">
        <f>ABS(HKSE_00823!L192/HKSE_00823!L85)</f>
        <v>3.1223628691983123E-2</v>
      </c>
      <c r="Q31" s="8">
        <f>ABS(HKSE_00823!M192/HKSE_00823!M85)</f>
        <v>3.1223628691983123E-2</v>
      </c>
      <c r="R31" s="4"/>
      <c r="S31" s="13">
        <f t="shared" si="0"/>
        <v>7.1646575180746653E-3</v>
      </c>
    </row>
    <row r="32" spans="2:19" ht="57.95" customHeight="1" x14ac:dyDescent="0.25">
      <c r="B32" s="6" t="s">
        <v>475</v>
      </c>
      <c r="C32" s="6" t="s">
        <v>476</v>
      </c>
      <c r="D32" s="6" t="s">
        <v>477</v>
      </c>
      <c r="E32" s="14"/>
      <c r="F32" s="7">
        <f>HKSE_00823!B107/HKSE_00823!B109</f>
        <v>0</v>
      </c>
      <c r="G32" s="7">
        <f>HKSE_00823!C107/HKSE_00823!C109</f>
        <v>0</v>
      </c>
      <c r="H32" s="7">
        <f>HKSE_00823!D107/HKSE_00823!D109</f>
        <v>0</v>
      </c>
      <c r="I32" s="7">
        <f>HKSE_00823!E107/HKSE_00823!E109</f>
        <v>0</v>
      </c>
      <c r="J32" s="7">
        <f>HKSE_00823!F107/HKSE_00823!F109</f>
        <v>0</v>
      </c>
      <c r="K32" s="7">
        <f>HKSE_00823!G107/HKSE_00823!G109</f>
        <v>0.76043737574552683</v>
      </c>
      <c r="L32" s="7">
        <f>HKSE_00823!H107/HKSE_00823!H109</f>
        <v>0</v>
      </c>
      <c r="M32" s="7">
        <f>HKSE_00823!I107/HKSE_00823!I109</f>
        <v>0</v>
      </c>
      <c r="N32" s="7">
        <f>HKSE_00823!J107/HKSE_00823!J109</f>
        <v>0</v>
      </c>
      <c r="O32" s="7">
        <f>HKSE_00823!K107/HKSE_00823!K109</f>
        <v>0</v>
      </c>
      <c r="P32" s="7">
        <f>HKSE_00823!L107/HKSE_00823!L109</f>
        <v>0</v>
      </c>
      <c r="Q32" s="7">
        <f>HKSE_00823!M107/HKSE_00823!M109</f>
        <v>0</v>
      </c>
      <c r="R32" s="4"/>
      <c r="S32" s="13">
        <f t="shared" si="0"/>
        <v>6.9130670522320622E-2</v>
      </c>
    </row>
    <row r="33" spans="2:19" ht="57.95" customHeight="1" x14ac:dyDescent="0.25">
      <c r="B33" s="5" t="s">
        <v>478</v>
      </c>
      <c r="C33" s="6" t="s">
        <v>479</v>
      </c>
      <c r="D33" s="6" t="s">
        <v>480</v>
      </c>
      <c r="E33" s="14"/>
      <c r="F33" s="4">
        <f>HKSE_00823!B61</f>
        <v>-215.6</v>
      </c>
      <c r="G33" s="4">
        <f>HKSE_00823!C61</f>
        <v>-111.64999999999999</v>
      </c>
      <c r="H33" s="4">
        <f>HKSE_00823!D61</f>
        <v>-9.27</v>
      </c>
      <c r="I33" s="4">
        <f>HKSE_00823!E61</f>
        <v>-3.5399999999999996</v>
      </c>
      <c r="J33" s="4">
        <f>HKSE_00823!F61</f>
        <v>-0.2200000000000002</v>
      </c>
      <c r="K33" s="4">
        <f>HKSE_00823!G61</f>
        <v>496.24999999999994</v>
      </c>
      <c r="L33" s="4">
        <f>HKSE_00823!H61</f>
        <v>476.42</v>
      </c>
      <c r="M33" s="4">
        <f>HKSE_00823!I61</f>
        <v>-22.32</v>
      </c>
      <c r="N33" s="4">
        <f>HKSE_00823!J61</f>
        <v>-23.18</v>
      </c>
      <c r="O33" s="4">
        <f>HKSE_00823!K61</f>
        <v>-66.27</v>
      </c>
      <c r="P33" s="4">
        <f>HKSE_00823!L61</f>
        <v>-53.9</v>
      </c>
      <c r="Q33" s="4">
        <f>HKSE_00823!M61</f>
        <v>-73.110000000000014</v>
      </c>
      <c r="R33" s="4"/>
      <c r="S33" s="10">
        <f t="shared" si="0"/>
        <v>42.429090909090903</v>
      </c>
    </row>
    <row r="34" spans="2:19" ht="57.95" customHeight="1" x14ac:dyDescent="0.25">
      <c r="B34" s="6" t="s">
        <v>481</v>
      </c>
      <c r="C34" s="6" t="s">
        <v>482</v>
      </c>
      <c r="D34" s="6" t="s">
        <v>483</v>
      </c>
      <c r="E34" s="15"/>
      <c r="F34" s="4"/>
      <c r="G34" s="4"/>
      <c r="H34" s="4"/>
      <c r="I34" s="4"/>
      <c r="J34" s="4"/>
      <c r="K34" s="4"/>
      <c r="L34" s="4"/>
      <c r="M34" s="4"/>
      <c r="N34" s="4"/>
      <c r="O34" s="4"/>
      <c r="P34" s="10">
        <f>Q35/(8.46+4.24)</f>
        <v>9.4141732283464563</v>
      </c>
      <c r="R34" s="4"/>
      <c r="S34" s="10">
        <f t="shared" si="0"/>
        <v>9.4141732283464563</v>
      </c>
    </row>
    <row r="35" spans="2:19" ht="57.95" customHeight="1" x14ac:dyDescent="0.25">
      <c r="B35" s="5" t="s">
        <v>484</v>
      </c>
      <c r="C35" s="6" t="s">
        <v>485</v>
      </c>
      <c r="D35" s="6" t="s">
        <v>486</v>
      </c>
      <c r="E35" s="15"/>
      <c r="F35" s="4">
        <f>HKSE_00823!B195</f>
        <v>3.53</v>
      </c>
      <c r="G35" s="4">
        <f>HKSE_00823!C195</f>
        <v>6.77</v>
      </c>
      <c r="H35" s="4">
        <f>HKSE_00823!D195</f>
        <v>4.58</v>
      </c>
      <c r="I35" s="4">
        <f>HKSE_00823!E195</f>
        <v>5.08</v>
      </c>
      <c r="J35" s="4">
        <f>HKSE_00823!F195</f>
        <v>4.04</v>
      </c>
      <c r="K35" s="4">
        <f>HKSE_00823!G195</f>
        <v>6.4</v>
      </c>
      <c r="L35" s="4">
        <f>HKSE_00823!H195</f>
        <v>6.87</v>
      </c>
      <c r="M35" s="4">
        <f>HKSE_00823!I195</f>
        <v>3.09</v>
      </c>
      <c r="N35" s="4">
        <f>HKSE_00823!J195</f>
        <v>9.6</v>
      </c>
      <c r="O35" s="4" t="str">
        <f>HKSE_00823!K195</f>
        <v>At Loss</v>
      </c>
      <c r="P35" s="4">
        <f>HKSE_00823!L195</f>
        <v>124.21</v>
      </c>
      <c r="Q35" s="4">
        <f>HKSE_00823!M195</f>
        <v>119.56</v>
      </c>
      <c r="R35" s="4"/>
      <c r="S35" s="10">
        <f t="shared" si="0"/>
        <v>17.416999999999998</v>
      </c>
    </row>
    <row r="36" spans="2:19" ht="57.95" customHeight="1" x14ac:dyDescent="0.25">
      <c r="B36" s="5" t="s">
        <v>487</v>
      </c>
      <c r="C36" s="6" t="s">
        <v>488</v>
      </c>
      <c r="D36" s="6" t="s">
        <v>489</v>
      </c>
      <c r="E36" s="16"/>
      <c r="F36" s="4">
        <f>HKSE_00823!B202</f>
        <v>10.09</v>
      </c>
      <c r="G36" s="4">
        <f>HKSE_00823!C202</f>
        <v>10.96</v>
      </c>
      <c r="H36" s="4">
        <f>HKSE_00823!D202</f>
        <v>14.83</v>
      </c>
      <c r="I36" s="4">
        <f>HKSE_00823!E202</f>
        <v>12.29</v>
      </c>
      <c r="J36" s="4">
        <f>HKSE_00823!F202</f>
        <v>14.26</v>
      </c>
      <c r="K36" s="4">
        <f>HKSE_00823!G202</f>
        <v>11.94</v>
      </c>
      <c r="L36" s="4">
        <f>HKSE_00823!H202</f>
        <v>13.15</v>
      </c>
      <c r="M36" s="4">
        <f>HKSE_00823!I202</f>
        <v>14.72</v>
      </c>
      <c r="N36" s="4">
        <f>HKSE_00823!J202</f>
        <v>19.45</v>
      </c>
      <c r="O36" s="4">
        <f>HKSE_00823!K202</f>
        <v>12.85</v>
      </c>
      <c r="P36" s="4">
        <f>HKSE_00823!L202</f>
        <v>13.62</v>
      </c>
      <c r="Q36" s="4">
        <f>HKSE_00823!M202</f>
        <v>13.11</v>
      </c>
      <c r="R36" s="4"/>
      <c r="S36" s="10">
        <f t="shared" si="0"/>
        <v>13.469090909090911</v>
      </c>
    </row>
    <row r="37" spans="2:19" ht="57.95" customHeight="1" x14ac:dyDescent="0.25">
      <c r="B37" s="6" t="s">
        <v>490</v>
      </c>
      <c r="C37" s="6" t="s">
        <v>491</v>
      </c>
      <c r="D37" s="6" t="s">
        <v>477</v>
      </c>
      <c r="E37" s="14"/>
      <c r="F37" s="8">
        <f>HKSE_00823!B97/HKSE_00823!B109</f>
        <v>0</v>
      </c>
      <c r="G37" s="8">
        <f>HKSE_00823!C97/HKSE_00823!C109</f>
        <v>2.710997442455243E-2</v>
      </c>
      <c r="H37" s="8">
        <f>HKSE_00823!D97/HKSE_00823!D109</f>
        <v>2.0373027259684363E-2</v>
      </c>
      <c r="I37" s="8">
        <f>HKSE_00823!E97/HKSE_00823!E109</f>
        <v>2.0988052954472071E-2</v>
      </c>
      <c r="J37" s="8">
        <f>HKSE_00823!F97/HKSE_00823!F109</f>
        <v>2.4823621635746015E-2</v>
      </c>
      <c r="K37" s="8">
        <f>HKSE_00823!G97/HKSE_00823!G109</f>
        <v>2.2862823061630219E-2</v>
      </c>
      <c r="L37" s="8">
        <f>HKSE_00823!H97/HKSE_00823!H109</f>
        <v>6.1660079051383397E-2</v>
      </c>
      <c r="M37" s="8">
        <f>HKSE_00823!I97/HKSE_00823!I109</f>
        <v>8.4786434170532714E-3</v>
      </c>
      <c r="N37" s="8">
        <f>HKSE_00823!J97/HKSE_00823!J109</f>
        <v>1.4179867143587124E-2</v>
      </c>
      <c r="O37" s="8">
        <f>HKSE_00823!K97/HKSE_00823!K109</f>
        <v>2.1863612701717855E-2</v>
      </c>
      <c r="P37" s="8">
        <f>HKSE_00823!L97/HKSE_00823!L109</f>
        <v>4.1084767781747321E-2</v>
      </c>
      <c r="Q37" s="8">
        <f>HKSE_00823!M97/HKSE_00823!M109</f>
        <v>4.1084767781747321E-2</v>
      </c>
      <c r="R37" s="4"/>
      <c r="S37" s="13">
        <f t="shared" si="0"/>
        <v>2.3947679039234004E-2</v>
      </c>
    </row>
    <row r="38" spans="2:19" ht="57.95" customHeight="1" x14ac:dyDescent="0.25">
      <c r="B38" s="5" t="s">
        <v>492</v>
      </c>
      <c r="C38" s="6" t="s">
        <v>493</v>
      </c>
      <c r="D38" s="6" t="s">
        <v>494</v>
      </c>
      <c r="E38" s="15"/>
      <c r="F38" s="4">
        <f>HKSE_00823!B38</f>
        <v>24.65</v>
      </c>
      <c r="G38" s="4">
        <f>HKSE_00823!C38</f>
        <v>12.98</v>
      </c>
      <c r="H38" s="4">
        <f>HKSE_00823!D38</f>
        <v>23.580000000000002</v>
      </c>
      <c r="I38" s="4">
        <f>HKSE_00823!E38</f>
        <v>16.259999999999998</v>
      </c>
      <c r="J38" s="4">
        <f>HKSE_00823!F38</f>
        <v>21.22</v>
      </c>
      <c r="K38" s="4">
        <f>HKSE_00823!G38</f>
        <v>10.63</v>
      </c>
      <c r="L38" s="4">
        <f>HKSE_00823!H38</f>
        <v>10.440000000000001</v>
      </c>
      <c r="M38" s="4">
        <f>HKSE_00823!I38</f>
        <v>24.349999999999998</v>
      </c>
      <c r="N38" s="4">
        <f>HKSE_00823!J38</f>
        <v>9.17</v>
      </c>
      <c r="O38" s="4">
        <f>HKSE_00823!K38</f>
        <v>-7.88</v>
      </c>
      <c r="P38" s="4">
        <f>HKSE_00823!L38</f>
        <v>0.57000000000000006</v>
      </c>
      <c r="Q38" s="4">
        <f>HKSE_00823!M38</f>
        <v>0.57000000000000006</v>
      </c>
      <c r="R38" s="4"/>
      <c r="S38" s="10">
        <f t="shared" si="0"/>
        <v>13.269999999999998</v>
      </c>
    </row>
    <row r="39" spans="2:19" ht="57.95" customHeight="1" x14ac:dyDescent="0.25">
      <c r="B39" s="5" t="s">
        <v>495</v>
      </c>
      <c r="C39" s="6" t="s">
        <v>496</v>
      </c>
      <c r="D39" s="6" t="s">
        <v>497</v>
      </c>
      <c r="E39" s="15"/>
      <c r="F39" s="4">
        <f>HKSE_00823!B36</f>
        <v>31.790000000000003</v>
      </c>
      <c r="G39" s="4">
        <f>HKSE_00823!C36</f>
        <v>16.309999999999999</v>
      </c>
      <c r="H39" s="4">
        <f>HKSE_00823!D36</f>
        <v>29.18</v>
      </c>
      <c r="I39" s="4">
        <f>HKSE_00823!E36</f>
        <v>19.439999999999998</v>
      </c>
      <c r="J39" s="4">
        <f>HKSE_00823!F36</f>
        <v>25.39</v>
      </c>
      <c r="K39" s="4">
        <f>HKSE_00823!G36</f>
        <v>13.28</v>
      </c>
      <c r="L39" s="4">
        <f>HKSE_00823!H36</f>
        <v>13.34</v>
      </c>
      <c r="M39" s="4">
        <f>HKSE_00823!I36</f>
        <v>30.15</v>
      </c>
      <c r="N39" s="4">
        <f>HKSE_00823!J36</f>
        <v>11.07</v>
      </c>
      <c r="O39" s="4">
        <f>HKSE_00823!K36</f>
        <v>-9.83</v>
      </c>
      <c r="P39" s="4">
        <f>HKSE_00823!L36</f>
        <v>0.74</v>
      </c>
      <c r="Q39" s="4">
        <f>HKSE_00823!M36</f>
        <v>0.75</v>
      </c>
      <c r="R39" s="4"/>
      <c r="S39" s="10">
        <f t="shared" si="0"/>
        <v>16.441818181818181</v>
      </c>
    </row>
    <row r="40" spans="2:19" ht="57.95" customHeight="1" x14ac:dyDescent="0.25">
      <c r="B40" s="5" t="s">
        <v>498</v>
      </c>
      <c r="C40" s="6" t="s">
        <v>499</v>
      </c>
      <c r="D40" s="6" t="s">
        <v>500</v>
      </c>
      <c r="E40" s="17"/>
      <c r="F40" s="10">
        <f>HKSE_00823!B123/HKSE_00823!B154</f>
        <v>1.2506412005457026</v>
      </c>
      <c r="G40" s="10">
        <f>HKSE_00823!C123/HKSE_00823!C154</f>
        <v>1.2628516776918786</v>
      </c>
      <c r="H40" s="10">
        <f>HKSE_00823!D123/HKSE_00823!D154</f>
        <v>1.2177923127801866</v>
      </c>
      <c r="I40" s="10">
        <f>HKSE_00823!E123/HKSE_00823!E154</f>
        <v>1.1776317837905159</v>
      </c>
      <c r="J40" s="10">
        <f>HKSE_00823!F123/HKSE_00823!F154</f>
        <v>1.2119960035899955</v>
      </c>
      <c r="K40" s="10">
        <f>HKSE_00823!G123/HKSE_00823!G154</f>
        <v>1.2825699735563909</v>
      </c>
      <c r="L40" s="10">
        <f>HKSE_00823!H123/HKSE_00823!H154</f>
        <v>1.2703524264063482</v>
      </c>
      <c r="M40" s="10">
        <f>HKSE_00823!I123/HKSE_00823!I154</f>
        <v>1.2085017981995667</v>
      </c>
      <c r="N40" s="10">
        <f>HKSE_00823!J123/HKSE_00823!J154</f>
        <v>1.1986573423618521</v>
      </c>
      <c r="O40" s="10">
        <f>HKSE_00823!K123/HKSE_00823!K154</f>
        <v>1.2966705596532535</v>
      </c>
      <c r="P40" s="10">
        <f>HKSE_00823!L123/HKSE_00823!L154</f>
        <v>1.3225851171759309</v>
      </c>
      <c r="Q40" s="10">
        <f>HKSE_00823!M123/HKSE_00823!M154</f>
        <v>1.3225851171759309</v>
      </c>
      <c r="R40" s="4"/>
      <c r="S40" s="10">
        <f t="shared" si="0"/>
        <v>1.2454772905228746</v>
      </c>
    </row>
    <row r="41" spans="2:19" ht="57.95" customHeight="1" x14ac:dyDescent="0.25">
      <c r="B41" s="5" t="s">
        <v>501</v>
      </c>
      <c r="C41" s="6" t="s">
        <v>502</v>
      </c>
      <c r="D41" s="6" t="s">
        <v>503</v>
      </c>
      <c r="E41" s="18"/>
      <c r="F41" s="4">
        <f>HKSE_00823!B43</f>
        <v>5.33</v>
      </c>
      <c r="G41" s="4">
        <f>HKSE_00823!C43</f>
        <v>4.9000000000000004</v>
      </c>
      <c r="H41" s="4">
        <f>HKSE_00823!D43</f>
        <v>4.75</v>
      </c>
      <c r="I41" s="4">
        <f>HKSE_00823!E43</f>
        <v>4.42</v>
      </c>
      <c r="J41" s="4">
        <f>HKSE_00823!F43</f>
        <v>3.91</v>
      </c>
      <c r="K41" s="4">
        <f>HKSE_00823!G43</f>
        <v>3.7699999999999996</v>
      </c>
      <c r="L41" s="4">
        <f>HKSE_00823!H43</f>
        <v>3.6700000000000004</v>
      </c>
      <c r="M41" s="4">
        <f>HKSE_00823!I43</f>
        <v>3.61</v>
      </c>
      <c r="N41" s="4">
        <f>HKSE_00823!J43</f>
        <v>3.16</v>
      </c>
      <c r="O41" s="4">
        <f>HKSE_00823!K43</f>
        <v>3.8600000000000003</v>
      </c>
      <c r="P41" s="4">
        <f>HKSE_00823!L43</f>
        <v>1.5699999999999998</v>
      </c>
      <c r="Q41" s="4">
        <f>HKSE_00823!M43</f>
        <v>1.5699999999999998</v>
      </c>
      <c r="R41" s="4"/>
      <c r="S41" s="10">
        <f t="shared" si="0"/>
        <v>3.9045454545454543</v>
      </c>
    </row>
    <row r="42" spans="2:19" ht="57.95" customHeight="1" x14ac:dyDescent="0.25">
      <c r="B42" s="5" t="s">
        <v>504</v>
      </c>
      <c r="C42" s="6"/>
      <c r="D42" s="6" t="s">
        <v>505</v>
      </c>
      <c r="E42" s="15"/>
      <c r="F42" s="4">
        <f>HKSE_00823!B44</f>
        <v>5.35</v>
      </c>
      <c r="G42" s="4">
        <f>HKSE_00823!C44</f>
        <v>3.11</v>
      </c>
      <c r="H42" s="4">
        <f>HKSE_00823!D44</f>
        <v>3.93</v>
      </c>
      <c r="I42" s="4">
        <f>HKSE_00823!E44</f>
        <v>5.05</v>
      </c>
      <c r="J42" s="4">
        <f>HKSE_00823!F44</f>
        <v>5.68</v>
      </c>
      <c r="K42" s="4">
        <f>HKSE_00823!G44</f>
        <v>4.32</v>
      </c>
      <c r="L42" s="4">
        <f>HKSE_00823!H44</f>
        <v>4.7300000000000004</v>
      </c>
      <c r="M42" s="4">
        <f>HKSE_00823!I44</f>
        <v>4.9400000000000004</v>
      </c>
      <c r="N42" s="4">
        <f>HKSE_00823!J44</f>
        <v>5.35</v>
      </c>
      <c r="O42" s="4">
        <f>HKSE_00823!K44</f>
        <v>3.83</v>
      </c>
      <c r="P42" s="4">
        <f>HKSE_00823!L44</f>
        <v>5.55</v>
      </c>
      <c r="Q42" s="4">
        <f>HKSE_00823!M44</f>
        <v>5.5</v>
      </c>
      <c r="R42" s="4"/>
      <c r="S42" s="10">
        <f t="shared" si="0"/>
        <v>4.712727272727272</v>
      </c>
    </row>
    <row r="43" spans="2:19" ht="57.95" customHeight="1" x14ac:dyDescent="0.25">
      <c r="B43" s="5" t="s">
        <v>506</v>
      </c>
      <c r="C43" s="6" t="s">
        <v>507</v>
      </c>
      <c r="D43" s="6" t="s">
        <v>508</v>
      </c>
      <c r="E43" s="15"/>
      <c r="F43" s="10">
        <f>(HKSE_00823!B109-HKSE_00823!B107)/HKSE_00823!B136</f>
        <v>0.22831549049595806</v>
      </c>
      <c r="G43" s="10">
        <f>(HKSE_00823!C109-HKSE_00823!C107)/HKSE_00823!C136</f>
        <v>0.87082405345211578</v>
      </c>
      <c r="H43" s="10">
        <f>(HKSE_00823!D109-HKSE_00823!D107)/HKSE_00823!D136</f>
        <v>0.8301572177227251</v>
      </c>
      <c r="I43" s="10">
        <f>(HKSE_00823!E109-HKSE_00823!E107)/HKSE_00823!E136</f>
        <v>0.5598336948662328</v>
      </c>
      <c r="J43" s="10">
        <f>(HKSE_00823!F109-HKSE_00823!F107)/HKSE_00823!F136</f>
        <v>0.78422131147540985</v>
      </c>
      <c r="K43" s="10">
        <f>(HKSE_00823!G109-HKSE_00823!G107)/HKSE_00823!G136</f>
        <v>0.2197401413266469</v>
      </c>
      <c r="L43" s="10">
        <f>(HKSE_00823!H109-HKSE_00823!H107)/HKSE_00823!H136</f>
        <v>0.31265447355412751</v>
      </c>
      <c r="M43" s="10">
        <f>(HKSE_00823!I109-HKSE_00823!I107)/HKSE_00823!I136</f>
        <v>1.7303806228373702</v>
      </c>
      <c r="N43" s="10">
        <f>(HKSE_00823!J109-HKSE_00823!J107)/HKSE_00823!J136</f>
        <v>3.0282398452611217</v>
      </c>
      <c r="O43" s="10">
        <f>(HKSE_00823!K109-HKSE_00823!K107)/HKSE_00823!K136</f>
        <v>1.3476918759646415</v>
      </c>
      <c r="P43" s="10">
        <f>(HKSE_00823!L109-HKSE_00823!L107)/HKSE_00823!L136</f>
        <v>0.97006931316950218</v>
      </c>
      <c r="Q43" s="10">
        <f>(HKSE_00823!M109-HKSE_00823!M107)/HKSE_00823!M136</f>
        <v>0.97006931316950218</v>
      </c>
      <c r="R43" s="4"/>
      <c r="S43" s="10">
        <f t="shared" si="0"/>
        <v>0.98928436728416824</v>
      </c>
    </row>
    <row r="44" spans="2:19" ht="57.95" customHeight="1" x14ac:dyDescent="0.25">
      <c r="B44" s="5" t="s">
        <v>509</v>
      </c>
      <c r="C44" s="6" t="s">
        <v>510</v>
      </c>
      <c r="D44" s="6" t="s">
        <v>511</v>
      </c>
      <c r="E44" s="16"/>
      <c r="F44" s="4">
        <f>HKSE_00823!B30</f>
        <v>0.38300000000000001</v>
      </c>
      <c r="G44" s="4">
        <f>HKSE_00823!C30</f>
        <v>0.75700000000000001</v>
      </c>
      <c r="H44" s="4">
        <f>HKSE_00823!D30</f>
        <v>1.3779999999999999</v>
      </c>
      <c r="I44" s="4">
        <f>HKSE_00823!E30</f>
        <v>1.2090000000000001</v>
      </c>
      <c r="J44" s="4">
        <f>HKSE_00823!F30</f>
        <v>1.5049999999999999</v>
      </c>
      <c r="K44" s="4">
        <f>HKSE_00823!G30</f>
        <v>0.20200000000000001</v>
      </c>
      <c r="L44" s="4">
        <f>HKSE_00823!H30</f>
        <v>0.31</v>
      </c>
      <c r="M44" s="4">
        <f>HKSE_00823!I30</f>
        <v>5.4370000000000003</v>
      </c>
      <c r="N44" s="4">
        <f>HKSE_00823!J30</f>
        <v>3.2189999999999999</v>
      </c>
      <c r="O44" s="4">
        <f>HKSE_00823!K30</f>
        <v>3.8279999999999998</v>
      </c>
      <c r="P44" s="4">
        <f>HKSE_00823!L30</f>
        <v>1.2150000000000001</v>
      </c>
      <c r="Q44" s="4">
        <f>HKSE_00823!M30</f>
        <v>1.2150000000000001</v>
      </c>
      <c r="R44" s="4"/>
      <c r="S44" s="10">
        <f t="shared" si="0"/>
        <v>1.7675454545454543</v>
      </c>
    </row>
    <row r="45" spans="2:19" ht="57.95" customHeight="1" x14ac:dyDescent="0.25">
      <c r="B45" s="5" t="s">
        <v>512</v>
      </c>
      <c r="C45" s="6" t="s">
        <v>513</v>
      </c>
      <c r="D45" s="6" t="s">
        <v>514</v>
      </c>
      <c r="E45" s="15"/>
      <c r="F45" s="4"/>
      <c r="G45" s="4"/>
      <c r="H45" s="4"/>
      <c r="I45" s="4"/>
      <c r="J45" s="4"/>
      <c r="K45" s="4"/>
      <c r="L45" s="4"/>
      <c r="M45" s="4"/>
      <c r="N45" s="4"/>
      <c r="O45" s="4"/>
      <c r="P45" s="10">
        <f>(8.7+4.2)/Q35</f>
        <v>0.10789561726329874</v>
      </c>
      <c r="R45" s="4"/>
      <c r="S45" s="10">
        <f t="shared" si="0"/>
        <v>0.10789561726329874</v>
      </c>
    </row>
    <row r="46" spans="2:19" ht="57.95" customHeight="1" x14ac:dyDescent="0.25">
      <c r="B46" s="5" t="s">
        <v>515</v>
      </c>
      <c r="C46" s="6" t="s">
        <v>516</v>
      </c>
      <c r="D46" s="6" t="s">
        <v>517</v>
      </c>
      <c r="E46" s="17"/>
      <c r="F46" s="4">
        <f>HKSE_00823!B32</f>
        <v>24.626999999999999</v>
      </c>
      <c r="G46" s="4">
        <f>HKSE_00823!C32</f>
        <v>27.73</v>
      </c>
      <c r="H46" s="4">
        <f>HKSE_00823!D32</f>
        <v>35.682000000000002</v>
      </c>
      <c r="I46" s="4">
        <f>HKSE_00823!E32</f>
        <v>41.694000000000003</v>
      </c>
      <c r="J46" s="4">
        <f>HKSE_00823!F32</f>
        <v>51.534999999999997</v>
      </c>
      <c r="K46" s="4">
        <f>HKSE_00823!G32</f>
        <v>56.789000000000001</v>
      </c>
      <c r="L46" s="4">
        <f>HKSE_00823!H32</f>
        <v>62.468000000000004</v>
      </c>
      <c r="M46" s="4">
        <f>HKSE_00823!I32</f>
        <v>83.064999999999998</v>
      </c>
      <c r="N46" s="4">
        <f>HKSE_00823!J32</f>
        <v>89.478999999999999</v>
      </c>
      <c r="O46" s="4">
        <f>HKSE_00823!K32</f>
        <v>77.608999999999995</v>
      </c>
      <c r="P46" s="4">
        <f>HKSE_00823!L32</f>
        <v>76.239999999999995</v>
      </c>
      <c r="Q46" s="4">
        <f>HKSE_00823!M32</f>
        <v>76.239999999999995</v>
      </c>
      <c r="R46" s="4"/>
      <c r="S46" s="10">
        <f t="shared" si="0"/>
        <v>56.992545454545457</v>
      </c>
    </row>
    <row r="47" spans="2:19" ht="57.95" customHeight="1" x14ac:dyDescent="0.25">
      <c r="B47" s="5" t="s">
        <v>518</v>
      </c>
      <c r="C47" s="6" t="s">
        <v>519</v>
      </c>
      <c r="D47" s="6" t="s">
        <v>520</v>
      </c>
      <c r="E47" s="19"/>
      <c r="F47" s="4">
        <f>HKSE_00823!B223</f>
        <v>5</v>
      </c>
      <c r="G47" s="4">
        <f>HKSE_00823!C223</f>
        <v>4</v>
      </c>
      <c r="H47" s="4">
        <f>HKSE_00823!D223</f>
        <v>5</v>
      </c>
      <c r="I47" s="4">
        <f>HKSE_00823!E223</f>
        <v>4</v>
      </c>
      <c r="J47" s="4">
        <f>HKSE_00823!F223</f>
        <v>6</v>
      </c>
      <c r="K47" s="4">
        <f>HKSE_00823!G223</f>
        <v>5</v>
      </c>
      <c r="L47" s="4">
        <f>HKSE_00823!H223</f>
        <v>5</v>
      </c>
      <c r="M47" s="4">
        <f>HKSE_00823!I223</f>
        <v>8</v>
      </c>
      <c r="N47" s="4">
        <f>HKSE_00823!J223</f>
        <v>6</v>
      </c>
      <c r="O47" s="4">
        <f>HKSE_00823!K223</f>
        <v>5</v>
      </c>
      <c r="P47" s="4">
        <f>HKSE_00823!L223</f>
        <v>6</v>
      </c>
      <c r="Q47" s="4">
        <f>HKSE_00823!M223</f>
        <v>6</v>
      </c>
      <c r="R47" s="4"/>
      <c r="S47" s="10">
        <f t="shared" si="0"/>
        <v>5.3636363636363633</v>
      </c>
    </row>
    <row r="48" spans="2:19" ht="57.95" customHeight="1" x14ac:dyDescent="0.25">
      <c r="B48" s="5" t="s">
        <v>521</v>
      </c>
      <c r="C48" s="6" t="s">
        <v>522</v>
      </c>
      <c r="D48" s="6" t="s">
        <v>523</v>
      </c>
      <c r="E48" s="18"/>
      <c r="F48" s="4">
        <f>HKSE_00823!B222</f>
        <v>3.16</v>
      </c>
      <c r="G48" s="4">
        <f>HKSE_00823!C222</f>
        <v>2.88</v>
      </c>
      <c r="H48" s="4">
        <f>HKSE_00823!D222</f>
        <v>4.05</v>
      </c>
      <c r="I48" s="4">
        <f>HKSE_00823!E222</f>
        <v>3.66</v>
      </c>
      <c r="J48" s="4">
        <f>HKSE_00823!F222</f>
        <v>3.32</v>
      </c>
      <c r="K48" s="4">
        <f>HKSE_00823!G222</f>
        <v>2.13</v>
      </c>
      <c r="L48" s="4">
        <f>HKSE_00823!H222</f>
        <v>2.33</v>
      </c>
      <c r="M48" s="4">
        <f>HKSE_00823!I222</f>
        <v>3.15</v>
      </c>
      <c r="N48" s="4">
        <f>HKSE_00823!J222</f>
        <v>3.48</v>
      </c>
      <c r="O48" s="4">
        <f>HKSE_00823!K222</f>
        <v>1.52</v>
      </c>
      <c r="P48" s="4">
        <v>1.76</v>
      </c>
      <c r="Q48" s="4">
        <f>HKSE_00823!M222</f>
        <v>1.76</v>
      </c>
      <c r="R48" s="4"/>
      <c r="S48" s="10">
        <f t="shared" si="0"/>
        <v>2.8581818181818184</v>
      </c>
    </row>
    <row r="49" spans="2:19" ht="57.95" customHeight="1" x14ac:dyDescent="0.25">
      <c r="B49" s="5" t="s">
        <v>524</v>
      </c>
      <c r="C49" s="6" t="s">
        <v>525</v>
      </c>
      <c r="D49" s="6" t="s">
        <v>526</v>
      </c>
      <c r="E49" s="17"/>
      <c r="F49" s="4">
        <f>ABS(HKSE_00823!B224)</f>
        <v>1.64</v>
      </c>
      <c r="G49" s="4">
        <f>ABS(HKSE_00823!C224)</f>
        <v>2.14</v>
      </c>
      <c r="H49" s="4">
        <f>ABS(HKSE_00823!D224)</f>
        <v>1.33</v>
      </c>
      <c r="I49" s="4">
        <f>ABS(HKSE_00823!E224)</f>
        <v>1.94</v>
      </c>
      <c r="J49" s="4">
        <f>ABS(HKSE_00823!F224)</f>
        <v>1.52</v>
      </c>
      <c r="K49" s="4">
        <f>ABS(HKSE_00823!G224)</f>
        <v>2.25</v>
      </c>
      <c r="L49" s="4">
        <f>ABS(HKSE_00823!H224)</f>
        <v>2.27</v>
      </c>
      <c r="M49" s="4">
        <f>ABS(HKSE_00823!I224)</f>
        <v>1.19</v>
      </c>
      <c r="N49" s="4">
        <f>ABS(HKSE_00823!J224)</f>
        <v>2.06</v>
      </c>
      <c r="O49" s="4">
        <f>ABS(HKSE_00823!K224)</f>
        <v>2.2799999999999998</v>
      </c>
      <c r="P49" s="4">
        <f>ABS(HKSE_00823!L224)</f>
        <v>2.4700000000000002</v>
      </c>
      <c r="Q49" s="4">
        <f>ABS(HKSE_00823!M224)</f>
        <v>2.4700000000000002</v>
      </c>
      <c r="R49" s="4"/>
      <c r="S49" s="10">
        <f t="shared" si="0"/>
        <v>1.9172727272727272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markers="1" displayXAxis="1" xr2:uid="{457CF549-5929-4183-B2C3-6A78A9AB6396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Ratios!F2:P2</xm:f>
              <xm:sqref>R2</xm:sqref>
            </x14:sparkline>
            <x14:sparkline>
              <xm:f>Ratios!F3:P3</xm:f>
              <xm:sqref>R3</xm:sqref>
            </x14:sparkline>
            <x14:sparkline>
              <xm:f>Ratios!F4:P4</xm:f>
              <xm:sqref>R4</xm:sqref>
            </x14:sparkline>
            <x14:sparkline>
              <xm:f>Ratios!F5:P5</xm:f>
              <xm:sqref>R5</xm:sqref>
            </x14:sparkline>
            <x14:sparkline>
              <xm:f>Ratios!F6:P6</xm:f>
              <xm:sqref>R6</xm:sqref>
            </x14:sparkline>
            <x14:sparkline>
              <xm:f>Ratios!F7:P7</xm:f>
              <xm:sqref>R7</xm:sqref>
            </x14:sparkline>
            <x14:sparkline>
              <xm:f>Ratios!F8:P8</xm:f>
              <xm:sqref>R8</xm:sqref>
            </x14:sparkline>
            <x14:sparkline>
              <xm:f>Ratios!F9:P9</xm:f>
              <xm:sqref>R9</xm:sqref>
            </x14:sparkline>
            <x14:sparkline>
              <xm:f>Ratios!F10:P10</xm:f>
              <xm:sqref>R10</xm:sqref>
            </x14:sparkline>
            <x14:sparkline>
              <xm:f>Ratios!F11:P11</xm:f>
              <xm:sqref>R11</xm:sqref>
            </x14:sparkline>
            <x14:sparkline>
              <xm:f>Ratios!F12:P12</xm:f>
              <xm:sqref>R12</xm:sqref>
            </x14:sparkline>
            <x14:sparkline>
              <xm:f>Ratios!F13:P13</xm:f>
              <xm:sqref>R13</xm:sqref>
            </x14:sparkline>
            <x14:sparkline>
              <xm:f>Ratios!F14:P14</xm:f>
              <xm:sqref>R14</xm:sqref>
            </x14:sparkline>
            <x14:sparkline>
              <xm:f>Ratios!F15:P15</xm:f>
              <xm:sqref>R15</xm:sqref>
            </x14:sparkline>
            <x14:sparkline>
              <xm:f>Ratios!F16:P16</xm:f>
              <xm:sqref>R16</xm:sqref>
            </x14:sparkline>
            <x14:sparkline>
              <xm:f>Ratios!F17:P17</xm:f>
              <xm:sqref>R17</xm:sqref>
            </x14:sparkline>
            <x14:sparkline>
              <xm:f>Ratios!F18:P18</xm:f>
              <xm:sqref>R18</xm:sqref>
            </x14:sparkline>
            <x14:sparkline>
              <xm:f>Ratios!F19:P19</xm:f>
              <xm:sqref>R19</xm:sqref>
            </x14:sparkline>
            <x14:sparkline>
              <xm:f>Ratios!F20:P20</xm:f>
              <xm:sqref>R20</xm:sqref>
            </x14:sparkline>
            <x14:sparkline>
              <xm:f>Ratios!F21:P21</xm:f>
              <xm:sqref>R21</xm:sqref>
            </x14:sparkline>
            <x14:sparkline>
              <xm:f>Ratios!F22:P22</xm:f>
              <xm:sqref>R22</xm:sqref>
            </x14:sparkline>
            <x14:sparkline>
              <xm:f>Ratios!F23:P23</xm:f>
              <xm:sqref>R23</xm:sqref>
            </x14:sparkline>
            <x14:sparkline>
              <xm:f>Ratios!F24:P24</xm:f>
              <xm:sqref>R24</xm:sqref>
            </x14:sparkline>
            <x14:sparkline>
              <xm:f>Ratios!F25:P25</xm:f>
              <xm:sqref>R25</xm:sqref>
            </x14:sparkline>
            <x14:sparkline>
              <xm:f>Ratios!F26:P26</xm:f>
              <xm:sqref>R26</xm:sqref>
            </x14:sparkline>
            <x14:sparkline>
              <xm:f>Ratios!F27:P27</xm:f>
              <xm:sqref>R27</xm:sqref>
            </x14:sparkline>
            <x14:sparkline>
              <xm:f>Ratios!F28:P28</xm:f>
              <xm:sqref>R28</xm:sqref>
            </x14:sparkline>
            <x14:sparkline>
              <xm:f>Ratios!F29:P29</xm:f>
              <xm:sqref>R29</xm:sqref>
            </x14:sparkline>
            <x14:sparkline>
              <xm:f>Ratios!F30:P30</xm:f>
              <xm:sqref>R30</xm:sqref>
            </x14:sparkline>
            <x14:sparkline>
              <xm:f>Ratios!F31:P31</xm:f>
              <xm:sqref>R31</xm:sqref>
            </x14:sparkline>
            <x14:sparkline>
              <xm:f>Ratios!F32:P32</xm:f>
              <xm:sqref>R32</xm:sqref>
            </x14:sparkline>
            <x14:sparkline>
              <xm:f>Ratios!F33:P33</xm:f>
              <xm:sqref>R33</xm:sqref>
            </x14:sparkline>
            <x14:sparkline>
              <xm:f>Ratios!F34:P34</xm:f>
              <xm:sqref>R34</xm:sqref>
            </x14:sparkline>
            <x14:sparkline>
              <xm:f>Ratios!F35:P35</xm:f>
              <xm:sqref>R35</xm:sqref>
            </x14:sparkline>
            <x14:sparkline>
              <xm:f>Ratios!F36:P36</xm:f>
              <xm:sqref>R36</xm:sqref>
            </x14:sparkline>
            <x14:sparkline>
              <xm:f>Ratios!F37:P37</xm:f>
              <xm:sqref>R37</xm:sqref>
            </x14:sparkline>
            <x14:sparkline>
              <xm:f>Ratios!F38:P38</xm:f>
              <xm:sqref>R38</xm:sqref>
            </x14:sparkline>
            <x14:sparkline>
              <xm:f>Ratios!F39:P39</xm:f>
              <xm:sqref>R39</xm:sqref>
            </x14:sparkline>
            <x14:sparkline>
              <xm:f>Ratios!F40:P40</xm:f>
              <xm:sqref>R40</xm:sqref>
            </x14:sparkline>
            <x14:sparkline>
              <xm:f>Ratios!F41:P41</xm:f>
              <xm:sqref>R41</xm:sqref>
            </x14:sparkline>
            <x14:sparkline>
              <xm:f>Ratios!F42:P42</xm:f>
              <xm:sqref>R42</xm:sqref>
            </x14:sparkline>
            <x14:sparkline>
              <xm:f>Ratios!F43:P43</xm:f>
              <xm:sqref>R43</xm:sqref>
            </x14:sparkline>
            <x14:sparkline>
              <xm:f>Ratios!F44:P44</xm:f>
              <xm:sqref>R44</xm:sqref>
            </x14:sparkline>
            <x14:sparkline>
              <xm:f>Ratios!F45:P45</xm:f>
              <xm:sqref>R45</xm:sqref>
            </x14:sparkline>
            <x14:sparkline>
              <xm:f>Ratios!F46:P46</xm:f>
              <xm:sqref>R46</xm:sqref>
            </x14:sparkline>
            <x14:sparkline>
              <xm:f>Ratios!F47:P47</xm:f>
              <xm:sqref>R47</xm:sqref>
            </x14:sparkline>
            <x14:sparkline>
              <xm:f>Ratios!F48:P48</xm:f>
              <xm:sqref>R48</xm:sqref>
            </x14:sparkline>
            <x14:sparkline>
              <xm:f>Ratios!F49:P49</xm:f>
              <xm:sqref>R49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CB25B0-9521-4384-8F33-16E7CB7072D4}">
  <dimension ref="B2:F10"/>
  <sheetViews>
    <sheetView workbookViewId="0">
      <selection activeCell="B12" sqref="B12"/>
    </sheetView>
  </sheetViews>
  <sheetFormatPr baseColWidth="10" defaultRowHeight="15" x14ac:dyDescent="0.25"/>
  <cols>
    <col min="2" max="2" width="17.85546875" bestFit="1" customWidth="1"/>
    <col min="5" max="5" width="19.85546875" bestFit="1" customWidth="1"/>
  </cols>
  <sheetData>
    <row r="2" spans="2:6" x14ac:dyDescent="0.25">
      <c r="B2" t="s">
        <v>528</v>
      </c>
      <c r="C2">
        <v>67.900000000000006</v>
      </c>
    </row>
    <row r="4" spans="2:6" x14ac:dyDescent="0.25">
      <c r="B4" s="22" t="s">
        <v>529</v>
      </c>
      <c r="C4" s="22"/>
      <c r="E4" s="27" t="s">
        <v>533</v>
      </c>
      <c r="F4" s="22"/>
    </row>
    <row r="5" spans="2:6" x14ac:dyDescent="0.25">
      <c r="B5" s="22" t="s">
        <v>530</v>
      </c>
      <c r="C5" s="22">
        <f>MEDIAN(Ratios!F36:P36)</f>
        <v>13.15</v>
      </c>
      <c r="E5" s="27" t="s">
        <v>534</v>
      </c>
      <c r="F5" s="22">
        <v>9.85</v>
      </c>
    </row>
    <row r="6" spans="2:6" x14ac:dyDescent="0.25">
      <c r="B6" s="22" t="s">
        <v>426</v>
      </c>
      <c r="C6" s="22">
        <f>Ratios!P7</f>
        <v>5.1980000000000004</v>
      </c>
      <c r="E6" s="27" t="s">
        <v>535</v>
      </c>
      <c r="F6" s="28">
        <f>AVERAGE(Ratios!J20:P20)</f>
        <v>5987.8571428571431</v>
      </c>
    </row>
    <row r="7" spans="2:6" x14ac:dyDescent="0.25">
      <c r="B7" s="22" t="s">
        <v>531</v>
      </c>
      <c r="C7" s="24">
        <f>C5*C6</f>
        <v>68.353700000000003</v>
      </c>
      <c r="E7" s="27" t="s">
        <v>536</v>
      </c>
      <c r="F7" s="22">
        <f>HKSE_00823!L154</f>
        <v>158693</v>
      </c>
    </row>
    <row r="8" spans="2:6" x14ac:dyDescent="0.25">
      <c r="B8" s="22" t="s">
        <v>532</v>
      </c>
      <c r="C8" s="26">
        <f>(C7-C2)/C7</f>
        <v>6.6375338862416774E-3</v>
      </c>
      <c r="E8" s="27" t="s">
        <v>427</v>
      </c>
      <c r="F8" s="22">
        <f>Ratios!P8</f>
        <v>2066.8809999999999</v>
      </c>
    </row>
    <row r="9" spans="2:6" x14ac:dyDescent="0.25">
      <c r="E9" s="23" t="s">
        <v>531</v>
      </c>
      <c r="F9" s="29">
        <f>(F5*F6+F7*0.75)/F8</f>
        <v>86.120169887450146</v>
      </c>
    </row>
    <row r="10" spans="2:6" x14ac:dyDescent="0.25">
      <c r="E10" s="27" t="s">
        <v>537</v>
      </c>
      <c r="F10" s="25">
        <f>(F9-C2)/F9</f>
        <v>0.21156681310849659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HKSE_00823</vt:lpstr>
      <vt:lpstr>Ratios</vt:lpstr>
      <vt:lpstr>Valuación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creator>Unknown Creator</dc:creator>
  <cp:lastModifiedBy>marco antonio rubio martinez</cp:lastModifiedBy>
  <dcterms:created xsi:type="dcterms:W3CDTF">2021-10-27T15:09:16Z</dcterms:created>
  <dcterms:modified xsi:type="dcterms:W3CDTF">2024-12-30T03:04:22Z</dcterms:modified>
</cp:coreProperties>
</file>