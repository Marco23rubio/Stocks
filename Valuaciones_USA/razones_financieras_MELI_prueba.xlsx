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_c\OneDrive\Documentos\GuruFocus\Valuaciones_USA\"/>
    </mc:Choice>
  </mc:AlternateContent>
  <xr:revisionPtr revIDLastSave="0" documentId="13_ncr:1_{1E224FA9-38BA-4FB7-ABDD-CA662E077EF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D16" i="1"/>
</calcChain>
</file>

<file path=xl/sharedStrings.xml><?xml version="1.0" encoding="utf-8"?>
<sst xmlns="http://schemas.openxmlformats.org/spreadsheetml/2006/main" count="144" uniqueCount="133">
  <si>
    <t>Dec2005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</si>
  <si>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</si>
  <si>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</si>
  <si>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</si>
  <si>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</si>
  <si>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</si>
  <si>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</si>
  <si>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</si>
  <si>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</si>
  <si>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</si>
  <si>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</si>
  <si>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</si>
  <si>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</si>
  <si>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</si>
  <si>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</si>
  <si>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</si>
  <si>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</si>
  <si>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</si>
  <si>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</si>
  <si>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</si>
  <si>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Amortizacion(%)</t>
  </si>
  <si>
    <t>Beneficio Neto</t>
  </si>
  <si>
    <t>EPS</t>
  </si>
  <si>
    <t>Revenue Per Share</t>
  </si>
  <si>
    <t># de Acciones</t>
  </si>
  <si>
    <t>Ventas</t>
  </si>
  <si>
    <t>Crecimiento Beneficio Neto</t>
  </si>
  <si>
    <t>Crecimiento Ventas</t>
  </si>
  <si>
    <t>Costo de Ventas</t>
  </si>
  <si>
    <t>Crecimiento Costo de Ventas</t>
  </si>
  <si>
    <t>Inventarios</t>
  </si>
  <si>
    <t>Crecimiento Inventarios</t>
  </si>
  <si>
    <t>Dividendos por Accion</t>
  </si>
  <si>
    <t>Flujo de Caja Libre</t>
  </si>
  <si>
    <t>Free cash flow per share</t>
  </si>
  <si>
    <t>FCF/DEBT corto plazo</t>
  </si>
  <si>
    <t>Dividend Payout Ratio</t>
  </si>
  <si>
    <t>Pasivo/Fondos Propios</t>
  </si>
  <si>
    <t>Gasto financiero</t>
  </si>
  <si>
    <t>Net Trading Cycle</t>
  </si>
  <si>
    <t>PEGY Ratio</t>
  </si>
  <si>
    <t>PER</t>
  </si>
  <si>
    <t>P/S Ratio</t>
  </si>
  <si>
    <t>Receivable to Current Assets</t>
  </si>
  <si>
    <t>ROA%</t>
  </si>
  <si>
    <t>ROE%</t>
  </si>
  <si>
    <t>ROB</t>
  </si>
  <si>
    <t>ROIC %</t>
  </si>
  <si>
    <t>WACC %</t>
  </si>
  <si>
    <t>Test de Acidez</t>
  </si>
  <si>
    <t>Valor en libros</t>
  </si>
  <si>
    <t>Piotrivski F-Score</t>
  </si>
  <si>
    <t>Altman Z score</t>
  </si>
  <si>
    <t>Beneish M-Score</t>
  </si>
  <si>
    <t>Dividendo por accion</t>
  </si>
  <si>
    <t>Crecimiento Dividendo por accion</t>
  </si>
  <si>
    <t>inf</t>
  </si>
  <si>
    <t>* Una empresa con menor a 10% es bueno
* Más del 20% indica mucha competencia en el sector</t>
  </si>
  <si>
    <t>* Algo mayor a 20% indica una ventaja 
* Algo menor a 10% puede indicar mucha competencia
* empresas que generen entre un 10 al 20% son buenas
* los bancos suelen tener porcentajes más altos</t>
  </si>
  <si>
    <t>Se busca tendencia alcista</t>
  </si>
  <si>
    <t>* Un porcentaje mayor a 40% indica cierta ventaja
* Porcentajes menores a 40% en un sector significa demasiada competencia y algo menor al 20% en una industria indica dificultad de crear ventaja</t>
  </si>
  <si>
    <t>Se busca tendencia a la alza en los ultimos 5 0 10 años</t>
  </si>
  <si>
    <t>Se busca tendecia bajista o al menos que no suba</t>
  </si>
  <si>
    <t>Se busca porcentajes estables o en crecimiento</t>
  </si>
  <si>
    <t>Se busca tendencia bajista o que incrementen menos que las sales</t>
  </si>
  <si>
    <t>Rotacion de inventario</t>
  </si>
  <si>
    <t>Se busca un numero alto</t>
  </si>
  <si>
    <t>Se busca crecimiento estable</t>
  </si>
  <si>
    <t>Entre menor sea el rango mejor, ya que indica una ventaja competitiva</t>
  </si>
  <si>
    <t>Buscar una tendencia alcista</t>
  </si>
  <si>
    <t>Si el porcentaje da algo en torno al 15% puede indicar un foso económico</t>
  </si>
  <si>
    <t>Se busca una tendencia alcista</t>
  </si>
  <si>
    <t>Entre más cerca de 1 mejor</t>
  </si>
  <si>
    <t>Entre más cerca o alejado de 1 mejor</t>
  </si>
  <si>
    <t>*Buscar empresas que tenga un ratio de entre 20 y 60%</t>
  </si>
  <si>
    <t>Igual a 1 esta bien, pero mayor a 3 indica ventaja competitiva</t>
  </si>
  <si>
    <t>Si algo es menor a 1 es mejor
* Para las financiera un relación menor a .80 es una ventaja competitiva</t>
  </si>
  <si>
    <t>*En teoría algo mayor a 1 indica solvencia, pero existen empresas con algo menor a 1 que debido a su rentabilidad pueden cubrir el pasivo
*Algo mayor a 1.5 puede ser muy bueno
*evitar aquellas menores a .5</t>
  </si>
  <si>
    <t>Se busca un balance de 75% capital, 25% deuda
Se busca resultados menores a 25%</t>
  </si>
  <si>
    <t xml:space="preserve">* Un gasto menor a 15% indica una ventaja
* En el area financiera un porcentaje bajo puede ser un 30%
*En cualquier industria la empresa con la proporción más baja tiene la ventaja
</t>
  </si>
  <si>
    <t>Buscar compañias con un rango menor al 40% y evitar empresas con algo mayor al 60%</t>
  </si>
  <si>
    <t>*Entre menor sea, mejor, un valor negativo es bueno siempre y cuando el revenue continue subiendo</t>
  </si>
  <si>
    <t>Es mas efectivo que el PEG, debido a que el PEG ratio no tiene en cuenta el dividendo, lo que vuelve más cara a las empresas que si pagan dividendos
*No es efectivo para empresas que pagan más de un 8% de dividendo
Buscar que sea menor a 1</t>
  </si>
  <si>
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</si>
  <si>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</si>
  <si>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* Una empresa no financiera que genere un ROA del 7% es buena 
* Un ROA mayor al 20% es Excelente</t>
  </si>
  <si>
    <t>*Un ROE mayor a 15% es bueno si es mayor al 20% puede indicar un gran foso
* Las financieras se debe buscar algo mayor al 12%</t>
  </si>
  <si>
    <t>ratios mayores a 4.5 vuelve a las empresas riesgosas</t>
  </si>
  <si>
    <t>Si es mayor a su WACC indica que genera más dinero que lo que paga por el
Si tiene un ROIC mayor al 15% tiene una ventaja competitiva</t>
  </si>
  <si>
    <t>Costo que tiene la obtencion del capital, entre menor sea mejor</t>
  </si>
  <si>
    <t>*Un indice mayor a 1 coloca a la empresa en buena posición</t>
  </si>
  <si>
    <t>*Comprar acciones que no pase su valor en 1.5
* Mas util en financiera debido a lo activo de sus liquidos
*Una empresa con un Valor en libros bajo, pero un ROE alto puede ser una ganga</t>
  </si>
  <si>
    <t>* Un buen score es en 7,8,9 sobre su estabilidad finaciera
- las zonas grises esta entre 4,5,6
- Mal o bajo score entre 0,1,2,3</t>
  </si>
  <si>
    <t>*Algo menor a 1.8 es malo ya que indica que la empresa podria entrar en bancarrota en los proximos dos años
* entre 1.8 y 3 es zona griss
* mayor a 3 es zona segura e indica una alta fuerza financiera</t>
  </si>
  <si>
    <t>* Menor a 1.78 indica que podrian manipular sus estados financieros.
* Mayor a 1.78, podria indicar que no manipulan sus estados financieros</t>
  </si>
  <si>
    <t>Net Profit Margin(%)</t>
  </si>
  <si>
    <t>Gross Profit(%)</t>
  </si>
  <si>
    <t>Operating Margin(%)</t>
  </si>
  <si>
    <t>AR to Sales</t>
  </si>
  <si>
    <t>Free cash flow to sales</t>
  </si>
  <si>
    <t xml:space="preserve">Free Cash Flow to Debt ratio </t>
  </si>
  <si>
    <t>Amortization/ gross profit</t>
  </si>
  <si>
    <t>Net income / sales</t>
  </si>
  <si>
    <t>Operating profit/sales</t>
  </si>
  <si>
    <t>Gross profit/ sales</t>
  </si>
  <si>
    <t>Costo de ventas / inventario</t>
  </si>
  <si>
    <t>accounts Receivable / sales</t>
  </si>
  <si>
    <t>FCF/sales</t>
  </si>
  <si>
    <t>FCF/Shares</t>
  </si>
  <si>
    <t>FCF/Total Debt</t>
  </si>
  <si>
    <t>FCF/ current debt and capital lease obligation</t>
  </si>
  <si>
    <t>Dividend earnings per share/ earnings per share</t>
  </si>
  <si>
    <t>net worth to long-term debt ratio</t>
  </si>
  <si>
    <t>Total Equity/ Long Term Debt</t>
  </si>
  <si>
    <t>total liabilities/ shareholders equity + treasury stock</t>
  </si>
  <si>
    <t>Current Ratio</t>
  </si>
  <si>
    <t>current assets / current liabilities</t>
  </si>
  <si>
    <t>Long term debt/equity</t>
  </si>
  <si>
    <t>long-term debt-to-equity</t>
  </si>
  <si>
    <t>net interest income(expenses)/operating income</t>
  </si>
  <si>
    <t>Inventory to current Assets</t>
  </si>
  <si>
    <t>inventories/current asset</t>
  </si>
  <si>
    <t>(Rotación de cuentas por cobrar + Rotación de inventarios - Rotación de cuentas por pagar)}
CXC = ((trade/receivables 2020+AR 2019)/2)/sales*360
CXP= ((Accounts payable 2019 + AP 2020)/2)/COGS*360
ROT. INV = ((Inventory 2019+INV 2020)/2)/COGS*360</t>
  </si>
  <si>
    <t>P/E ratio/ EPS growth rate (cuanto crecera en los siguientes 5 años, según yahoo finance o finviz, agarrar el menor) + dividend Yield</t>
  </si>
  <si>
    <t>Precio*acciones en circulación / beneficio neto
Price* shares outstandings / net income</t>
  </si>
  <si>
    <t>Capitalización / ventas
market cap / sales</t>
  </si>
  <si>
    <t>accounts receivable/current asset
cuentas por cobrar / activos corrientes</t>
  </si>
  <si>
    <t>net income 2020/((total assets 2019+total assets 2020)/2)</t>
  </si>
  <si>
    <t>Beneficio neto / patrimonio neto
net income 2020/((shareholders equity 2019+shareholders equity 2020)/2)</t>
  </si>
  <si>
    <t xml:space="preserve">Total assets 2020/ ((shareholders equity 2019+shareholders equity 2020)/2)
</t>
  </si>
  <si>
    <t>Operating income * (1-tax rate %) / ((total assets - accounts payable y acrued expense - (cash, cash equivalents y marketable securities - max(0,total current liabilities - total current assets + cash,cash equivalents, marketable securities))
Se hace para los dos años lo de abajo</t>
  </si>
  <si>
    <t>(Current assets-inventory)/current liabilities</t>
  </si>
  <si>
    <t>Stockholders equity - preferred stock / average shares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</si>
</sst>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net+worth+to+long-term+debt+ratio&amp;sca_esv=2df5d5c022344074&amp;rlz=1C1ONGR_enMX1057MX1057&amp;biw=1920&amp;bih=911&amp;sxsrf=ANbL-n7UVPZaHmwPMiSCqXvTZOkxMry8vQ%3A1771637247727&amp;ei=_wmZaemLLPn7kPIP7_KvyQw&amp;oq=net+income+%2F+long+ter&amp;gs_lp=Egxnd3Mtd2l6LXNlcnAiFW5ldCBpbmNvbWUgLyBsb25nIHRlcioCCAAyBhAAGBYYHjIGEAAYFhgeMgYQABgWGB4yChAAGAgYHhgNGAoyCBAAGAgYHhgNMgsQABiABBiKBRiGAzIIEAAYgAQYogQyBRAAGO8FMgUQABjvBUilPVDuB1jELXADeAGQAQCYAaoCoAGSIKoBBjAuMTcuNLgBA8gBAPgBAZgCGKAC7yDCAgoQABhHGNYEGLADwgIEECMYJ8ICChAjGPAFGMkCGCfCAgoQIxieBhjwBRgnwgILEAAYgAQYigUYkQLCAgoQLhiABBiKBRhDwgIFEAAYgATCAgUQLhiABMICBBAuGCfCAgoQABiABBiKBRhDwgILEC4YgAQYxwEY0QPCAgoQABiABBgUGIcCwgIIEAAYgAQYywHCAg4QLhiABBjLARjHARjRA8ICBhAAGB4YDcICBRAhGKABwgIFECEYnwWYAwCIBgGQBgiSBwgzLjE1LjUuMaAH-6IBsgcIMC4xNS41LjG4B-YgwgcGMC4xNS45yAdCgAgB&amp;sclient=gws-wiz-serp&amp;ved=2ahUKEwjsvN2CuemSAxXIEkQIHRBUOyUQgK4QegQIAR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"/>
  <sheetViews>
    <sheetView tabSelected="1" topLeftCell="A41" workbookViewId="0">
      <selection activeCell="B43" sqref="B43"/>
    </sheetView>
  </sheetViews>
  <sheetFormatPr baseColWidth="10" defaultColWidth="9.140625" defaultRowHeight="15" x14ac:dyDescent="0.25"/>
  <cols>
    <col min="1" max="1" width="31.28515625" bestFit="1" customWidth="1"/>
    <col min="2" max="2" width="31.28515625" style="3" customWidth="1"/>
    <col min="3" max="3" width="47.140625" style="3" customWidth="1"/>
    <col min="4" max="15" width="8.28515625" bestFit="1" customWidth="1"/>
    <col min="16" max="18" width="9" bestFit="1" customWidth="1"/>
    <col min="19" max="22" width="8.28515625" bestFit="1" customWidth="1"/>
    <col min="23" max="23" width="9" bestFit="1" customWidth="1"/>
  </cols>
  <sheetData>
    <row r="1" spans="1:23" x14ac:dyDescent="0.25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ht="45" x14ac:dyDescent="0.25">
      <c r="A2" s="1" t="s">
        <v>20</v>
      </c>
      <c r="B2" s="5" t="s">
        <v>101</v>
      </c>
      <c r="C2" s="2" t="s">
        <v>57</v>
      </c>
      <c r="D2">
        <v>7.11</v>
      </c>
      <c r="E2">
        <v>5.05</v>
      </c>
      <c r="F2">
        <v>3.45</v>
      </c>
      <c r="G2">
        <v>3.05</v>
      </c>
      <c r="H2">
        <v>2.84</v>
      </c>
      <c r="I2">
        <v>2.89</v>
      </c>
      <c r="J2">
        <v>3.2</v>
      </c>
      <c r="K2">
        <v>3.25</v>
      </c>
      <c r="L2">
        <v>3.47</v>
      </c>
      <c r="M2">
        <v>4.26</v>
      </c>
      <c r="N2">
        <v>5.31</v>
      </c>
      <c r="O2">
        <v>5.41</v>
      </c>
      <c r="P2">
        <v>5.69</v>
      </c>
      <c r="Q2">
        <v>6.57</v>
      </c>
      <c r="R2">
        <v>6.65</v>
      </c>
      <c r="S2">
        <v>6.14</v>
      </c>
      <c r="T2">
        <v>6.79</v>
      </c>
      <c r="U2">
        <v>7.75</v>
      </c>
      <c r="V2">
        <v>6.9</v>
      </c>
      <c r="W2">
        <v>6.44</v>
      </c>
    </row>
    <row r="3" spans="1:23" ht="90" x14ac:dyDescent="0.25">
      <c r="A3" s="1" t="s">
        <v>95</v>
      </c>
      <c r="B3" s="5" t="s">
        <v>102</v>
      </c>
      <c r="C3" s="2" t="s">
        <v>58</v>
      </c>
      <c r="D3">
        <v>8.33</v>
      </c>
      <c r="E3">
        <v>2.06</v>
      </c>
      <c r="F3">
        <v>11.39</v>
      </c>
      <c r="G3">
        <v>13.73</v>
      </c>
      <c r="H3">
        <v>19.21</v>
      </c>
      <c r="I3">
        <v>25.85</v>
      </c>
      <c r="J3">
        <v>25.68</v>
      </c>
      <c r="K3">
        <v>27.1</v>
      </c>
      <c r="L3">
        <v>24.86</v>
      </c>
      <c r="M3">
        <v>13.04</v>
      </c>
      <c r="N3">
        <v>16.23</v>
      </c>
      <c r="O3">
        <v>16.149999999999999</v>
      </c>
      <c r="P3">
        <v>1.1299999999999999</v>
      </c>
      <c r="Q3">
        <v>-2.54</v>
      </c>
      <c r="R3">
        <v>-7.49</v>
      </c>
      <c r="S3">
        <v>-0.03</v>
      </c>
      <c r="T3">
        <v>1.17</v>
      </c>
      <c r="U3">
        <v>4.47</v>
      </c>
      <c r="V3">
        <v>6.53</v>
      </c>
      <c r="W3">
        <v>9.1999999999999993</v>
      </c>
    </row>
    <row r="4" spans="1:23" x14ac:dyDescent="0.25">
      <c r="A4" s="1" t="s">
        <v>21</v>
      </c>
      <c r="B4" s="5"/>
      <c r="C4" s="2" t="s">
        <v>59</v>
      </c>
      <c r="D4">
        <v>2.3540000000000001</v>
      </c>
      <c r="E4">
        <v>1.0720000000000001</v>
      </c>
      <c r="F4">
        <v>9.6929999999999996</v>
      </c>
      <c r="G4">
        <v>18.812000000000001</v>
      </c>
      <c r="H4">
        <v>33.209000000000003</v>
      </c>
      <c r="I4">
        <v>56.024999999999999</v>
      </c>
      <c r="J4">
        <v>76.78</v>
      </c>
      <c r="K4">
        <v>101.247</v>
      </c>
      <c r="L4">
        <v>117.50700000000001</v>
      </c>
      <c r="M4">
        <v>72.581000000000003</v>
      </c>
      <c r="N4">
        <v>105.789</v>
      </c>
      <c r="O4">
        <v>136.36600000000001</v>
      </c>
      <c r="P4">
        <v>13.78</v>
      </c>
      <c r="Q4">
        <v>-36.585000000000001</v>
      </c>
      <c r="R4">
        <v>-171.999</v>
      </c>
      <c r="S4">
        <v>-1</v>
      </c>
      <c r="T4">
        <v>83</v>
      </c>
      <c r="U4">
        <v>482</v>
      </c>
      <c r="V4">
        <v>987</v>
      </c>
      <c r="W4">
        <v>1911</v>
      </c>
    </row>
    <row r="5" spans="1:23" ht="60" x14ac:dyDescent="0.25">
      <c r="A5" s="1" t="s">
        <v>96</v>
      </c>
      <c r="B5" s="5" t="s">
        <v>104</v>
      </c>
      <c r="C5" s="2" t="s">
        <v>60</v>
      </c>
      <c r="D5">
        <v>78.27</v>
      </c>
      <c r="E5">
        <v>76.78</v>
      </c>
      <c r="F5">
        <v>78.53</v>
      </c>
      <c r="G5">
        <v>79.900000000000006</v>
      </c>
      <c r="H5">
        <v>79.2</v>
      </c>
      <c r="I5">
        <v>78.52</v>
      </c>
      <c r="J5">
        <v>75.900000000000006</v>
      </c>
      <c r="K5">
        <v>73.75</v>
      </c>
      <c r="L5">
        <v>72.48</v>
      </c>
      <c r="M5">
        <v>71.430000000000007</v>
      </c>
      <c r="N5">
        <v>67.010000000000005</v>
      </c>
      <c r="O5">
        <v>63.58</v>
      </c>
      <c r="P5">
        <v>59.15</v>
      </c>
      <c r="Q5">
        <v>48.42</v>
      </c>
      <c r="R5">
        <v>48</v>
      </c>
      <c r="S5">
        <v>43</v>
      </c>
      <c r="T5">
        <v>42.51</v>
      </c>
      <c r="U5">
        <v>48.22</v>
      </c>
      <c r="V5">
        <v>50.24</v>
      </c>
      <c r="W5">
        <v>46.09</v>
      </c>
    </row>
    <row r="6" spans="1:23" x14ac:dyDescent="0.25">
      <c r="A6" s="1" t="s">
        <v>97</v>
      </c>
      <c r="B6" s="5" t="s">
        <v>103</v>
      </c>
      <c r="C6" s="2" t="s">
        <v>59</v>
      </c>
      <c r="D6">
        <v>2.87</v>
      </c>
      <c r="E6">
        <v>10.37</v>
      </c>
      <c r="F6">
        <v>25.45</v>
      </c>
      <c r="G6">
        <v>27.39</v>
      </c>
      <c r="H6">
        <v>32.42</v>
      </c>
      <c r="I6">
        <v>34.42</v>
      </c>
      <c r="J6">
        <v>33.380000000000003</v>
      </c>
      <c r="K6">
        <v>34.700000000000003</v>
      </c>
      <c r="L6">
        <v>32.49</v>
      </c>
      <c r="M6">
        <v>30.54</v>
      </c>
      <c r="N6">
        <v>23.85</v>
      </c>
      <c r="O6">
        <v>23.07</v>
      </c>
      <c r="P6">
        <v>11.91</v>
      </c>
      <c r="Q6">
        <v>-4.83</v>
      </c>
      <c r="R6">
        <v>-6.67</v>
      </c>
      <c r="S6">
        <v>3.22</v>
      </c>
      <c r="T6">
        <v>6.24</v>
      </c>
      <c r="U6">
        <v>9.92</v>
      </c>
      <c r="V6">
        <v>14.61</v>
      </c>
      <c r="W6">
        <v>12.66</v>
      </c>
    </row>
    <row r="7" spans="1:23" ht="30" x14ac:dyDescent="0.25">
      <c r="A7" s="1" t="s">
        <v>22</v>
      </c>
      <c r="B7" s="5"/>
      <c r="C7" s="2" t="s">
        <v>61</v>
      </c>
      <c r="D7">
        <v>0.17</v>
      </c>
      <c r="E7">
        <v>0.08</v>
      </c>
      <c r="F7">
        <v>0.38</v>
      </c>
      <c r="G7">
        <v>0.42</v>
      </c>
      <c r="H7">
        <v>0.75</v>
      </c>
      <c r="I7">
        <v>1.27</v>
      </c>
      <c r="J7">
        <v>1.74</v>
      </c>
      <c r="K7">
        <v>2.29</v>
      </c>
      <c r="L7">
        <v>2.66</v>
      </c>
      <c r="M7">
        <v>1.64</v>
      </c>
      <c r="N7">
        <v>2.4</v>
      </c>
      <c r="O7">
        <v>3.09</v>
      </c>
      <c r="P7">
        <v>0.31</v>
      </c>
      <c r="Q7">
        <v>-0.82</v>
      </c>
      <c r="R7">
        <v>-3.53</v>
      </c>
      <c r="S7">
        <v>-0.02</v>
      </c>
      <c r="T7">
        <v>1.67</v>
      </c>
      <c r="U7">
        <v>9.39</v>
      </c>
      <c r="V7">
        <v>19.350000000000001</v>
      </c>
      <c r="W7">
        <v>37.69</v>
      </c>
    </row>
    <row r="8" spans="1:23" x14ac:dyDescent="0.25">
      <c r="A8" s="1" t="s">
        <v>23</v>
      </c>
      <c r="B8" s="5"/>
      <c r="C8" s="2" t="s">
        <v>59</v>
      </c>
      <c r="D8">
        <v>2.0699999999999998</v>
      </c>
      <c r="E8">
        <v>3.96</v>
      </c>
      <c r="F8">
        <v>3.34</v>
      </c>
      <c r="G8">
        <v>3.09</v>
      </c>
      <c r="H8">
        <v>3.92</v>
      </c>
      <c r="I8">
        <v>4.91</v>
      </c>
      <c r="J8">
        <v>6.77</v>
      </c>
      <c r="K8">
        <v>8.4600000000000009</v>
      </c>
      <c r="L8">
        <v>10.7</v>
      </c>
      <c r="M8">
        <v>12.6</v>
      </c>
      <c r="N8">
        <v>14.76</v>
      </c>
      <c r="O8">
        <v>19.12</v>
      </c>
      <c r="P8">
        <v>27.55</v>
      </c>
      <c r="Q8">
        <v>32.33</v>
      </c>
      <c r="R8">
        <v>47.16</v>
      </c>
      <c r="S8">
        <v>79.900000000000006</v>
      </c>
      <c r="T8">
        <v>141.94</v>
      </c>
      <c r="U8">
        <v>209.99</v>
      </c>
      <c r="V8">
        <v>296.18</v>
      </c>
      <c r="W8">
        <v>409.83</v>
      </c>
    </row>
    <row r="9" spans="1:23" x14ac:dyDescent="0.25">
      <c r="A9" s="1" t="s">
        <v>24</v>
      </c>
      <c r="B9" s="5"/>
      <c r="C9" s="2" t="s">
        <v>62</v>
      </c>
      <c r="D9">
        <v>13.670999999999999</v>
      </c>
      <c r="E9">
        <v>13.148999999999999</v>
      </c>
      <c r="F9">
        <v>25.478000000000002</v>
      </c>
      <c r="G9">
        <v>44.348999999999997</v>
      </c>
      <c r="H9">
        <v>44.143999999999998</v>
      </c>
      <c r="I9">
        <v>44.146999999999998</v>
      </c>
      <c r="J9">
        <v>44.151000000000003</v>
      </c>
      <c r="K9">
        <v>44.148000000000003</v>
      </c>
      <c r="L9">
        <v>44.152999999999999</v>
      </c>
      <c r="M9">
        <v>44.154000000000003</v>
      </c>
      <c r="N9">
        <v>44.155999999999999</v>
      </c>
      <c r="O9">
        <v>44.156999999999996</v>
      </c>
      <c r="P9">
        <v>44.156999999999996</v>
      </c>
      <c r="Q9">
        <v>44.53</v>
      </c>
      <c r="R9">
        <v>48.692999999999998</v>
      </c>
      <c r="S9">
        <v>49.74</v>
      </c>
      <c r="T9">
        <v>49.802999999999997</v>
      </c>
      <c r="U9">
        <v>51.335999999999999</v>
      </c>
      <c r="V9">
        <v>51.006999999999998</v>
      </c>
      <c r="W9">
        <v>50.697000000000003</v>
      </c>
    </row>
    <row r="10" spans="1:23" x14ac:dyDescent="0.25">
      <c r="A10" s="1" t="s">
        <v>25</v>
      </c>
      <c r="B10" s="5"/>
      <c r="C10" s="2" t="s">
        <v>59</v>
      </c>
      <c r="D10">
        <v>28.25</v>
      </c>
      <c r="E10">
        <v>52.058999999999997</v>
      </c>
      <c r="F10">
        <v>85.126000000000005</v>
      </c>
      <c r="G10">
        <v>137.023</v>
      </c>
      <c r="H10">
        <v>172.84399999999999</v>
      </c>
      <c r="I10">
        <v>216.71600000000001</v>
      </c>
      <c r="J10">
        <v>298.93200000000002</v>
      </c>
      <c r="K10">
        <v>373.601</v>
      </c>
      <c r="L10">
        <v>472.59500000000003</v>
      </c>
      <c r="M10">
        <v>556.53599999999994</v>
      </c>
      <c r="N10">
        <v>651.79</v>
      </c>
      <c r="O10">
        <v>844.39599999999996</v>
      </c>
      <c r="P10">
        <v>1216.5419999999999</v>
      </c>
      <c r="Q10">
        <v>1439.653</v>
      </c>
      <c r="R10">
        <v>2296.3139999999999</v>
      </c>
      <c r="S10">
        <v>3974</v>
      </c>
      <c r="T10">
        <v>7069</v>
      </c>
      <c r="U10">
        <v>10780</v>
      </c>
      <c r="V10">
        <v>15107</v>
      </c>
      <c r="W10">
        <v>20777</v>
      </c>
    </row>
    <row r="11" spans="1:23" x14ac:dyDescent="0.25">
      <c r="A11" s="1" t="s">
        <v>26</v>
      </c>
      <c r="B11" s="5"/>
      <c r="C11" s="2" t="s">
        <v>63</v>
      </c>
      <c r="D11">
        <v>0</v>
      </c>
      <c r="E11">
        <v>-54.46</v>
      </c>
      <c r="F11">
        <v>804.2</v>
      </c>
      <c r="G11">
        <v>94.08</v>
      </c>
      <c r="H11">
        <v>76.53</v>
      </c>
      <c r="I11">
        <v>68.7</v>
      </c>
      <c r="J11">
        <v>37.049999999999997</v>
      </c>
      <c r="K11">
        <v>31.87</v>
      </c>
      <c r="L11">
        <v>16.059999999999999</v>
      </c>
      <c r="M11">
        <v>-38.229999999999997</v>
      </c>
      <c r="N11">
        <v>45.75</v>
      </c>
      <c r="O11">
        <v>28.9</v>
      </c>
      <c r="P11">
        <v>-89.89</v>
      </c>
      <c r="Q11">
        <v>-365.49</v>
      </c>
      <c r="R11">
        <v>370.14</v>
      </c>
      <c r="S11">
        <v>-99.42</v>
      </c>
      <c r="T11">
        <v>-8400</v>
      </c>
      <c r="U11">
        <v>480.72</v>
      </c>
      <c r="V11">
        <v>104.77</v>
      </c>
      <c r="W11">
        <v>93.62</v>
      </c>
    </row>
    <row r="12" spans="1:23" x14ac:dyDescent="0.25">
      <c r="A12" s="1" t="s">
        <v>27</v>
      </c>
      <c r="B12" s="5"/>
      <c r="C12" s="2" t="s">
        <v>63</v>
      </c>
      <c r="D12">
        <v>0</v>
      </c>
      <c r="E12">
        <v>84.28</v>
      </c>
      <c r="F12">
        <v>63.52</v>
      </c>
      <c r="G12">
        <v>60.96</v>
      </c>
      <c r="H12">
        <v>26.14</v>
      </c>
      <c r="I12">
        <v>25.38</v>
      </c>
      <c r="J12">
        <v>37.94</v>
      </c>
      <c r="K12">
        <v>24.98</v>
      </c>
      <c r="L12">
        <v>26.5</v>
      </c>
      <c r="M12">
        <v>17.760000000000002</v>
      </c>
      <c r="N12">
        <v>17.12</v>
      </c>
      <c r="O12">
        <v>29.55</v>
      </c>
      <c r="P12">
        <v>44.07</v>
      </c>
      <c r="Q12">
        <v>18.34</v>
      </c>
      <c r="R12">
        <v>59.5</v>
      </c>
      <c r="S12">
        <v>73.06</v>
      </c>
      <c r="T12">
        <v>77.88</v>
      </c>
      <c r="U12">
        <v>52.5</v>
      </c>
      <c r="V12">
        <v>40.14</v>
      </c>
      <c r="W12">
        <v>37.53</v>
      </c>
    </row>
    <row r="13" spans="1:23" ht="30" x14ac:dyDescent="0.25">
      <c r="A13" s="1" t="s">
        <v>28</v>
      </c>
      <c r="B13" s="5"/>
      <c r="C13" s="2" t="s">
        <v>64</v>
      </c>
      <c r="D13">
        <v>6.1389999999999993</v>
      </c>
      <c r="E13">
        <v>12.086</v>
      </c>
      <c r="F13">
        <v>18.27300000000001</v>
      </c>
      <c r="G13">
        <v>27.536999999999988</v>
      </c>
      <c r="H13">
        <v>35.957999999999998</v>
      </c>
      <c r="I13">
        <v>46.550000000000011</v>
      </c>
      <c r="J13">
        <v>72.056000000000012</v>
      </c>
      <c r="K13">
        <v>98.08499999999998</v>
      </c>
      <c r="L13">
        <v>130.07700000000011</v>
      </c>
      <c r="M13">
        <v>158.97800000000001</v>
      </c>
      <c r="N13">
        <v>214.994</v>
      </c>
      <c r="O13">
        <v>307.53800000000001</v>
      </c>
      <c r="P13">
        <v>496.94199999999989</v>
      </c>
      <c r="Q13">
        <v>742.64499999999998</v>
      </c>
      <c r="R13">
        <v>1194.191</v>
      </c>
      <c r="S13">
        <v>2265</v>
      </c>
      <c r="T13">
        <v>4064</v>
      </c>
      <c r="U13">
        <v>5582</v>
      </c>
      <c r="V13">
        <v>7517</v>
      </c>
      <c r="W13">
        <v>11200</v>
      </c>
    </row>
    <row r="14" spans="1:23" ht="30" x14ac:dyDescent="0.25">
      <c r="A14" s="1" t="s">
        <v>29</v>
      </c>
      <c r="B14" s="5"/>
      <c r="C14" s="2" t="s">
        <v>64</v>
      </c>
      <c r="D14">
        <v>0</v>
      </c>
      <c r="E14">
        <v>96.87</v>
      </c>
      <c r="F14">
        <v>51.19</v>
      </c>
      <c r="G14">
        <v>50.7</v>
      </c>
      <c r="H14">
        <v>30.58</v>
      </c>
      <c r="I14">
        <v>29.46</v>
      </c>
      <c r="J14">
        <v>54.79</v>
      </c>
      <c r="K14">
        <v>36.119999999999997</v>
      </c>
      <c r="L14">
        <v>32.619999999999997</v>
      </c>
      <c r="M14">
        <v>22.22</v>
      </c>
      <c r="N14">
        <v>35.24</v>
      </c>
      <c r="O14">
        <v>43.04</v>
      </c>
      <c r="P14">
        <v>61.59</v>
      </c>
      <c r="Q14">
        <v>49.44</v>
      </c>
      <c r="R14">
        <v>60.8</v>
      </c>
      <c r="S14">
        <v>89.67</v>
      </c>
      <c r="T14">
        <v>79.430000000000007</v>
      </c>
      <c r="U14">
        <v>37.35</v>
      </c>
      <c r="V14">
        <v>34.659999999999997</v>
      </c>
      <c r="W14">
        <v>49</v>
      </c>
    </row>
    <row r="15" spans="1:23" x14ac:dyDescent="0.25">
      <c r="A15" s="1" t="s">
        <v>30</v>
      </c>
      <c r="B15" s="4"/>
      <c r="C15" s="4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0.222</v>
      </c>
      <c r="O15">
        <v>1.103</v>
      </c>
      <c r="P15">
        <v>2.5489999999999999</v>
      </c>
      <c r="Q15">
        <v>4.6120000000000001</v>
      </c>
      <c r="R15">
        <v>8.6259999999999994</v>
      </c>
      <c r="S15">
        <v>118.14</v>
      </c>
      <c r="T15">
        <v>253</v>
      </c>
      <c r="U15">
        <v>152</v>
      </c>
      <c r="V15">
        <v>238</v>
      </c>
      <c r="W15">
        <v>296</v>
      </c>
    </row>
    <row r="16" spans="1:23" x14ac:dyDescent="0.25">
      <c r="A16" s="1" t="s">
        <v>65</v>
      </c>
      <c r="B16" s="4" t="s">
        <v>105</v>
      </c>
      <c r="C16" s="4" t="s">
        <v>66</v>
      </c>
      <c r="D16" t="e">
        <f>D13/D15</f>
        <v>#DIV/0!</v>
      </c>
      <c r="E16" t="e">
        <f t="shared" ref="E16:W16" si="0">E13/E15</f>
        <v>#DIV/0!</v>
      </c>
      <c r="F16" t="e">
        <f t="shared" si="0"/>
        <v>#DIV/0!</v>
      </c>
      <c r="G16" t="e">
        <f t="shared" si="0"/>
        <v>#DIV/0!</v>
      </c>
      <c r="H16" t="e">
        <f t="shared" si="0"/>
        <v>#DIV/0!</v>
      </c>
      <c r="I16" t="e">
        <f t="shared" si="0"/>
        <v>#DIV/0!</v>
      </c>
      <c r="J16" t="e">
        <f t="shared" si="0"/>
        <v>#DIV/0!</v>
      </c>
      <c r="K16" t="e">
        <f t="shared" si="0"/>
        <v>#DIV/0!</v>
      </c>
      <c r="L16" t="e">
        <f t="shared" si="0"/>
        <v>#DIV/0!</v>
      </c>
      <c r="M16" t="e">
        <f t="shared" si="0"/>
        <v>#DIV/0!</v>
      </c>
      <c r="N16">
        <f t="shared" si="0"/>
        <v>968.44144144144138</v>
      </c>
      <c r="O16">
        <f t="shared" si="0"/>
        <v>278.8195829555757</v>
      </c>
      <c r="P16">
        <f t="shared" si="0"/>
        <v>194.95566888976066</v>
      </c>
      <c r="Q16">
        <f t="shared" si="0"/>
        <v>161.02450130095403</v>
      </c>
      <c r="R16">
        <f t="shared" si="0"/>
        <v>138.44087642012522</v>
      </c>
      <c r="S16">
        <f t="shared" si="0"/>
        <v>19.172168613509395</v>
      </c>
      <c r="T16">
        <f t="shared" si="0"/>
        <v>16.063241106719367</v>
      </c>
      <c r="U16">
        <f t="shared" si="0"/>
        <v>36.723684210526315</v>
      </c>
      <c r="V16">
        <f t="shared" si="0"/>
        <v>31.584033613445378</v>
      </c>
      <c r="W16">
        <f t="shared" si="0"/>
        <v>37.837837837837839</v>
      </c>
    </row>
    <row r="17" spans="1:23" x14ac:dyDescent="0.25">
      <c r="A17" s="1" t="s">
        <v>31</v>
      </c>
      <c r="B17" s="4"/>
      <c r="C17" s="4" t="s">
        <v>67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56</v>
      </c>
      <c r="O17">
        <v>396.85</v>
      </c>
      <c r="P17">
        <v>131.1</v>
      </c>
      <c r="Q17">
        <v>80.930000000000007</v>
      </c>
      <c r="R17">
        <v>87.03</v>
      </c>
      <c r="S17">
        <v>1269.58</v>
      </c>
      <c r="T17">
        <v>114.15</v>
      </c>
      <c r="U17">
        <v>-39.92</v>
      </c>
      <c r="V17">
        <v>56.58</v>
      </c>
      <c r="W17">
        <v>24.37</v>
      </c>
    </row>
    <row r="18" spans="1:23" ht="30" x14ac:dyDescent="0.25">
      <c r="A18" s="1" t="s">
        <v>98</v>
      </c>
      <c r="B18" s="5" t="s">
        <v>106</v>
      </c>
      <c r="C18" s="2" t="s">
        <v>68</v>
      </c>
      <c r="D18">
        <v>8.4499999999999993</v>
      </c>
      <c r="E18">
        <v>3.81</v>
      </c>
      <c r="F18">
        <v>38.03</v>
      </c>
      <c r="G18">
        <v>4.51</v>
      </c>
      <c r="H18">
        <v>5.01</v>
      </c>
      <c r="I18">
        <v>8.66</v>
      </c>
      <c r="J18">
        <v>5.63</v>
      </c>
      <c r="K18">
        <v>5.31</v>
      </c>
      <c r="L18">
        <v>5.48</v>
      </c>
      <c r="M18">
        <v>8.39</v>
      </c>
      <c r="N18">
        <v>4.3600000000000003</v>
      </c>
      <c r="O18">
        <v>3.01</v>
      </c>
      <c r="P18">
        <v>2.3199999999999998</v>
      </c>
      <c r="Q18">
        <v>2.44</v>
      </c>
      <c r="R18">
        <v>1.54</v>
      </c>
      <c r="S18">
        <v>1.25</v>
      </c>
      <c r="T18">
        <v>1.39</v>
      </c>
      <c r="U18">
        <v>1.21</v>
      </c>
      <c r="V18">
        <v>1.03</v>
      </c>
      <c r="W18">
        <v>1.23</v>
      </c>
    </row>
    <row r="19" spans="1:23" x14ac:dyDescent="0.25">
      <c r="A19" s="1" t="s">
        <v>32</v>
      </c>
      <c r="B19" s="5"/>
      <c r="C19" s="2" t="s">
        <v>69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0.32</v>
      </c>
      <c r="K19">
        <v>0.436</v>
      </c>
      <c r="L19">
        <v>0.57199999999999995</v>
      </c>
      <c r="M19">
        <v>0.66400000000000003</v>
      </c>
      <c r="N19">
        <v>0.41199999999999998</v>
      </c>
      <c r="O19">
        <v>0.6</v>
      </c>
      <c r="P19">
        <v>0.6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s="1" t="s">
        <v>33</v>
      </c>
      <c r="B20" s="5"/>
      <c r="C20" s="2" t="s">
        <v>69</v>
      </c>
      <c r="D20">
        <v>1.4339999999999999</v>
      </c>
      <c r="E20">
        <v>3.714</v>
      </c>
      <c r="F20">
        <v>3.6749999999999998</v>
      </c>
      <c r="G20">
        <v>50.816000000000003</v>
      </c>
      <c r="H20">
        <v>44.947000000000003</v>
      </c>
      <c r="I20">
        <v>54.265999999999998</v>
      </c>
      <c r="J20">
        <v>70.221000000000004</v>
      </c>
      <c r="K20">
        <v>121.753</v>
      </c>
      <c r="L20">
        <v>28.297999999999998</v>
      </c>
      <c r="M20">
        <v>161.51</v>
      </c>
      <c r="N20">
        <v>157.09399999999999</v>
      </c>
      <c r="O20">
        <v>112.889</v>
      </c>
      <c r="P20">
        <v>194.126</v>
      </c>
      <c r="Q20">
        <v>133.15299999999999</v>
      </c>
      <c r="R20">
        <v>314.221</v>
      </c>
      <c r="S20">
        <v>935</v>
      </c>
      <c r="T20">
        <v>356</v>
      </c>
      <c r="U20">
        <v>2485</v>
      </c>
      <c r="V20">
        <v>4631</v>
      </c>
      <c r="W20">
        <v>7058</v>
      </c>
    </row>
    <row r="21" spans="1:23" ht="30" x14ac:dyDescent="0.25">
      <c r="A21" s="1" t="s">
        <v>99</v>
      </c>
      <c r="B21" s="5" t="s">
        <v>107</v>
      </c>
      <c r="C21" s="2" t="s">
        <v>70</v>
      </c>
      <c r="D21">
        <v>5.08</v>
      </c>
      <c r="E21">
        <v>7.13</v>
      </c>
      <c r="F21">
        <v>4.32</v>
      </c>
      <c r="G21">
        <v>37.090000000000003</v>
      </c>
      <c r="H21">
        <v>26</v>
      </c>
      <c r="I21">
        <v>25.04</v>
      </c>
      <c r="J21">
        <v>23.49</v>
      </c>
      <c r="K21">
        <v>32.590000000000003</v>
      </c>
      <c r="L21">
        <v>5.99</v>
      </c>
      <c r="M21">
        <v>29.02</v>
      </c>
      <c r="N21">
        <v>24.1</v>
      </c>
      <c r="O21">
        <v>13.37</v>
      </c>
      <c r="P21">
        <v>15.96</v>
      </c>
      <c r="Q21">
        <v>9.25</v>
      </c>
      <c r="R21">
        <v>13.68</v>
      </c>
      <c r="S21">
        <v>23.53</v>
      </c>
      <c r="T21">
        <v>5.04</v>
      </c>
      <c r="U21">
        <v>23.05</v>
      </c>
      <c r="V21">
        <v>30.65</v>
      </c>
      <c r="W21">
        <v>33.97</v>
      </c>
    </row>
    <row r="22" spans="1:23" x14ac:dyDescent="0.25">
      <c r="A22" s="1" t="s">
        <v>34</v>
      </c>
      <c r="B22" s="5" t="s">
        <v>108</v>
      </c>
      <c r="C22" s="2" t="s">
        <v>71</v>
      </c>
      <c r="D22">
        <v>10.49</v>
      </c>
      <c r="E22">
        <v>28.25</v>
      </c>
      <c r="F22">
        <v>14.42</v>
      </c>
      <c r="G22">
        <v>114.58</v>
      </c>
      <c r="H22">
        <v>101.82</v>
      </c>
      <c r="I22">
        <v>122.92</v>
      </c>
      <c r="J22">
        <v>159.05000000000001</v>
      </c>
      <c r="K22">
        <v>275.77999999999997</v>
      </c>
      <c r="L22">
        <v>64.09</v>
      </c>
      <c r="M22">
        <v>365.79</v>
      </c>
      <c r="N22">
        <v>355.77</v>
      </c>
      <c r="O22">
        <v>255.65</v>
      </c>
      <c r="P22">
        <v>439.63</v>
      </c>
      <c r="Q22">
        <v>299.02</v>
      </c>
      <c r="R22">
        <v>645.30999999999995</v>
      </c>
      <c r="S22">
        <v>1879.77</v>
      </c>
      <c r="T22">
        <v>714.82</v>
      </c>
      <c r="U22">
        <v>4840.66</v>
      </c>
      <c r="V22">
        <v>9079.15</v>
      </c>
      <c r="W22">
        <v>13921.93</v>
      </c>
    </row>
    <row r="23" spans="1:23" x14ac:dyDescent="0.25">
      <c r="A23" s="1" t="s">
        <v>100</v>
      </c>
      <c r="B23" s="5" t="s">
        <v>109</v>
      </c>
      <c r="C23" s="2" t="s">
        <v>72</v>
      </c>
      <c r="D23">
        <v>0.12</v>
      </c>
      <c r="E23">
        <v>0.41</v>
      </c>
      <c r="F23">
        <v>0.38</v>
      </c>
      <c r="G23">
        <v>2.77</v>
      </c>
      <c r="H23">
        <v>9.84</v>
      </c>
      <c r="I23">
        <v>19.03</v>
      </c>
      <c r="J23">
        <v>249.01</v>
      </c>
      <c r="K23">
        <v>845.51</v>
      </c>
      <c r="L23">
        <v>1.78</v>
      </c>
      <c r="M23">
        <v>0.56999999999999995</v>
      </c>
      <c r="N23">
        <v>0.53</v>
      </c>
      <c r="O23">
        <v>0.36</v>
      </c>
      <c r="P23">
        <v>0.53</v>
      </c>
      <c r="Q23">
        <v>0.18</v>
      </c>
      <c r="R23">
        <v>0.31</v>
      </c>
      <c r="S23">
        <v>0.55000000000000004</v>
      </c>
      <c r="T23">
        <v>0.09</v>
      </c>
      <c r="U23">
        <v>0.46</v>
      </c>
      <c r="V23">
        <v>0.87</v>
      </c>
      <c r="W23">
        <v>1.03</v>
      </c>
    </row>
    <row r="24" spans="1:23" ht="30" x14ac:dyDescent="0.25">
      <c r="A24" s="1" t="s">
        <v>35</v>
      </c>
      <c r="B24" s="5" t="s">
        <v>110</v>
      </c>
      <c r="C24" s="2" t="s">
        <v>73</v>
      </c>
      <c r="D24">
        <v>10.95</v>
      </c>
      <c r="E24">
        <v>37.9</v>
      </c>
      <c r="F24">
        <v>0.38</v>
      </c>
      <c r="G24">
        <v>3.4</v>
      </c>
      <c r="H24">
        <v>13.98</v>
      </c>
      <c r="I24">
        <v>542.66</v>
      </c>
      <c r="J24">
        <v>480.97</v>
      </c>
      <c r="K24">
        <v>1432.39</v>
      </c>
      <c r="L24">
        <v>2.12</v>
      </c>
      <c r="M24">
        <v>98.36</v>
      </c>
      <c r="N24">
        <v>79.95</v>
      </c>
      <c r="O24">
        <v>9.75</v>
      </c>
      <c r="P24">
        <v>3.45</v>
      </c>
      <c r="Q24">
        <v>1</v>
      </c>
      <c r="R24">
        <v>1.5</v>
      </c>
      <c r="S24">
        <v>1.55</v>
      </c>
      <c r="T24">
        <v>0.26</v>
      </c>
      <c r="U24">
        <v>1.0900000000000001</v>
      </c>
      <c r="V24">
        <v>1.88</v>
      </c>
      <c r="W24">
        <v>2.2999999999999998</v>
      </c>
    </row>
    <row r="25" spans="1:23" ht="30" x14ac:dyDescent="0.25">
      <c r="A25" s="1" t="s">
        <v>36</v>
      </c>
      <c r="B25" s="5" t="s">
        <v>111</v>
      </c>
      <c r="C25" s="2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18.39</v>
      </c>
      <c r="K25">
        <v>19.04</v>
      </c>
      <c r="L25">
        <v>21.5</v>
      </c>
      <c r="M25">
        <v>40.49</v>
      </c>
      <c r="N25">
        <v>17.170000000000002</v>
      </c>
      <c r="O25">
        <v>19.420000000000002</v>
      </c>
      <c r="P25">
        <v>193.55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ht="30" x14ac:dyDescent="0.25">
      <c r="A26" s="1" t="s">
        <v>112</v>
      </c>
      <c r="B26" s="4" t="s">
        <v>113</v>
      </c>
      <c r="C26" s="4" t="s">
        <v>75</v>
      </c>
      <c r="D26">
        <v>0.2</v>
      </c>
      <c r="E26">
        <v>0.12</v>
      </c>
      <c r="G26">
        <v>5.55</v>
      </c>
      <c r="H26">
        <v>24.51</v>
      </c>
      <c r="I26">
        <v>20.37</v>
      </c>
      <c r="J26">
        <v>564.55999999999995</v>
      </c>
      <c r="K26">
        <v>1716.05</v>
      </c>
      <c r="L26">
        <v>47.19</v>
      </c>
      <c r="M26">
        <v>0.26</v>
      </c>
      <c r="N26">
        <v>0.36</v>
      </c>
      <c r="O26">
        <v>0.45</v>
      </c>
      <c r="P26">
        <v>0.04</v>
      </c>
      <c r="Q26">
        <v>-0.06</v>
      </c>
      <c r="R26">
        <v>-0.21</v>
      </c>
      <c r="S26">
        <v>0</v>
      </c>
      <c r="T26">
        <v>0.03</v>
      </c>
      <c r="U26">
        <v>0.15</v>
      </c>
      <c r="V26">
        <v>0.34</v>
      </c>
      <c r="W26">
        <v>0.51</v>
      </c>
    </row>
    <row r="27" spans="1:23" ht="45" x14ac:dyDescent="0.25">
      <c r="A27" s="1" t="s">
        <v>37</v>
      </c>
      <c r="B27" s="5" t="s">
        <v>114</v>
      </c>
      <c r="C27" s="2" t="s">
        <v>76</v>
      </c>
      <c r="D27">
        <v>-2.0499999999999998</v>
      </c>
      <c r="E27">
        <v>-2.3199999999999998</v>
      </c>
      <c r="F27">
        <v>0.47</v>
      </c>
      <c r="G27">
        <v>0.68</v>
      </c>
      <c r="H27">
        <v>0.6</v>
      </c>
      <c r="I27">
        <v>0.56999999999999995</v>
      </c>
      <c r="J27">
        <v>0.62</v>
      </c>
      <c r="K27">
        <v>0.65</v>
      </c>
      <c r="L27">
        <v>0.72</v>
      </c>
      <c r="M27">
        <v>1.72</v>
      </c>
      <c r="N27">
        <v>1.96</v>
      </c>
      <c r="O27">
        <v>2.19</v>
      </c>
      <c r="P27">
        <v>4.1399999999999997</v>
      </c>
      <c r="Q27">
        <v>5.65</v>
      </c>
      <c r="R27">
        <v>1.3</v>
      </c>
      <c r="S27">
        <v>2.95</v>
      </c>
      <c r="T27">
        <v>5.6</v>
      </c>
      <c r="U27">
        <v>6.52</v>
      </c>
      <c r="V27">
        <v>4.7300000000000004</v>
      </c>
      <c r="W27">
        <v>4.79</v>
      </c>
    </row>
    <row r="28" spans="1:23" ht="75" x14ac:dyDescent="0.25">
      <c r="A28" s="1" t="s">
        <v>115</v>
      </c>
      <c r="B28" s="5" t="s">
        <v>116</v>
      </c>
      <c r="C28" s="4" t="s">
        <v>77</v>
      </c>
      <c r="D28">
        <v>1.84</v>
      </c>
      <c r="E28">
        <v>1.48</v>
      </c>
      <c r="F28">
        <v>2.5099999999999998</v>
      </c>
      <c r="G28">
        <v>1.07</v>
      </c>
      <c r="H28">
        <v>1.36</v>
      </c>
      <c r="I28">
        <v>1.1499999999999999</v>
      </c>
      <c r="J28">
        <v>1.69</v>
      </c>
      <c r="K28">
        <v>1.62</v>
      </c>
      <c r="L28">
        <v>1.46</v>
      </c>
      <c r="M28">
        <v>1.82</v>
      </c>
      <c r="N28">
        <v>1.69</v>
      </c>
      <c r="O28">
        <v>1.51</v>
      </c>
      <c r="P28">
        <v>1.33</v>
      </c>
      <c r="Q28">
        <v>1.3</v>
      </c>
      <c r="R28">
        <v>2.16</v>
      </c>
      <c r="S28">
        <v>1.47</v>
      </c>
      <c r="T28">
        <v>1.4</v>
      </c>
      <c r="U28">
        <v>1.28</v>
      </c>
      <c r="V28">
        <v>1.27</v>
      </c>
      <c r="W28">
        <v>1.21</v>
      </c>
    </row>
    <row r="29" spans="1:23" ht="30" x14ac:dyDescent="0.25">
      <c r="A29" s="6" t="s">
        <v>118</v>
      </c>
      <c r="B29" s="4" t="s">
        <v>117</v>
      </c>
      <c r="C29" s="4" t="s">
        <v>78</v>
      </c>
      <c r="D29">
        <v>-0.28000000000000003</v>
      </c>
      <c r="E29">
        <v>-0.22</v>
      </c>
      <c r="F29">
        <v>0</v>
      </c>
      <c r="G29">
        <v>0.04</v>
      </c>
      <c r="H29">
        <v>0.01</v>
      </c>
      <c r="I29">
        <v>0.02</v>
      </c>
      <c r="J29">
        <v>0</v>
      </c>
      <c r="K29">
        <v>0</v>
      </c>
      <c r="L29">
        <v>0.01</v>
      </c>
      <c r="M29">
        <v>0.79</v>
      </c>
      <c r="N29">
        <v>0.87</v>
      </c>
      <c r="O29">
        <v>0.7</v>
      </c>
      <c r="P29">
        <v>0.96</v>
      </c>
      <c r="Q29">
        <v>1.79</v>
      </c>
      <c r="R29">
        <v>0.39</v>
      </c>
      <c r="S29">
        <v>0.67</v>
      </c>
      <c r="T29">
        <v>1.7</v>
      </c>
      <c r="U29">
        <v>1.72</v>
      </c>
      <c r="V29">
        <v>0.94</v>
      </c>
      <c r="W29">
        <v>0.87</v>
      </c>
    </row>
    <row r="30" spans="1:23" ht="90" x14ac:dyDescent="0.25">
      <c r="A30" s="1" t="s">
        <v>38</v>
      </c>
      <c r="B30" s="4" t="s">
        <v>119</v>
      </c>
      <c r="C30" s="4" t="s">
        <v>79</v>
      </c>
      <c r="D30">
        <v>0</v>
      </c>
      <c r="E30">
        <v>0</v>
      </c>
      <c r="F30">
        <v>12.64</v>
      </c>
      <c r="G30">
        <v>22.5</v>
      </c>
      <c r="H30">
        <v>23.84</v>
      </c>
      <c r="I30">
        <v>10.19</v>
      </c>
      <c r="J30">
        <v>3.66</v>
      </c>
      <c r="K30">
        <v>0.88</v>
      </c>
      <c r="L30">
        <v>1.53</v>
      </c>
      <c r="M30">
        <v>6.86</v>
      </c>
      <c r="N30">
        <v>13.12</v>
      </c>
      <c r="O30">
        <v>13.15</v>
      </c>
      <c r="P30">
        <v>18.27</v>
      </c>
      <c r="Q30">
        <v>80.95</v>
      </c>
      <c r="R30">
        <v>43.01</v>
      </c>
      <c r="S30">
        <v>83.59</v>
      </c>
      <c r="T30">
        <v>51.93</v>
      </c>
      <c r="U30">
        <v>12.63</v>
      </c>
      <c r="V30">
        <v>7.88</v>
      </c>
      <c r="W30">
        <v>6.27</v>
      </c>
    </row>
    <row r="31" spans="1:23" ht="30" x14ac:dyDescent="0.25">
      <c r="A31" s="1" t="s">
        <v>120</v>
      </c>
      <c r="B31" s="5" t="s">
        <v>121</v>
      </c>
      <c r="C31" s="2" t="s">
        <v>80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0.04</v>
      </c>
      <c r="O31">
        <v>0.13</v>
      </c>
      <c r="P31">
        <v>0.2</v>
      </c>
      <c r="Q31">
        <v>0.31</v>
      </c>
      <c r="R31">
        <v>0.23</v>
      </c>
      <c r="S31">
        <v>2.21</v>
      </c>
      <c r="T31">
        <v>3.09</v>
      </c>
      <c r="U31">
        <v>1.39</v>
      </c>
      <c r="V31">
        <v>1.67</v>
      </c>
      <c r="W31">
        <v>1.47</v>
      </c>
    </row>
    <row r="32" spans="1:23" ht="135" x14ac:dyDescent="0.25">
      <c r="A32" s="1" t="s">
        <v>39</v>
      </c>
      <c r="B32" s="7" t="s">
        <v>122</v>
      </c>
      <c r="C32" s="2" t="s">
        <v>81</v>
      </c>
      <c r="D32">
        <v>-127.38</v>
      </c>
      <c r="E32">
        <v>-111.07</v>
      </c>
      <c r="F32">
        <v>-23.53</v>
      </c>
      <c r="G32">
        <v>-28.2</v>
      </c>
      <c r="H32">
        <v>-61.540000000000013</v>
      </c>
      <c r="I32">
        <v>-50.45</v>
      </c>
      <c r="J32">
        <v>-38.26</v>
      </c>
      <c r="K32">
        <v>-32.29</v>
      </c>
      <c r="L32">
        <v>-40.540000000000013</v>
      </c>
      <c r="M32">
        <v>-65.140000000000015</v>
      </c>
      <c r="N32">
        <v>-68.11</v>
      </c>
      <c r="O32">
        <v>-76.460000000000008</v>
      </c>
      <c r="P32">
        <v>-98.83</v>
      </c>
      <c r="Q32">
        <v>-99.03</v>
      </c>
      <c r="R32">
        <v>-80.160000000000011</v>
      </c>
      <c r="S32">
        <v>-71.22</v>
      </c>
      <c r="T32">
        <v>-58.739999999999988</v>
      </c>
      <c r="U32">
        <v>-62.31</v>
      </c>
      <c r="V32">
        <v>-72.289999999999992</v>
      </c>
      <c r="W32">
        <v>-74.259999999999991</v>
      </c>
    </row>
    <row r="33" spans="1:23" ht="105" x14ac:dyDescent="0.25">
      <c r="A33" s="1" t="s">
        <v>40</v>
      </c>
      <c r="B33" s="2" t="s">
        <v>123</v>
      </c>
      <c r="C33" s="2" t="s">
        <v>82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0.91</v>
      </c>
      <c r="L33">
        <v>1.17</v>
      </c>
      <c r="M33">
        <v>2.41</v>
      </c>
      <c r="N33">
        <v>3.2</v>
      </c>
      <c r="O33">
        <v>3.98</v>
      </c>
      <c r="P33">
        <v>17.739999999999998</v>
      </c>
      <c r="Q33">
        <v>0</v>
      </c>
      <c r="R33">
        <v>0</v>
      </c>
      <c r="S33">
        <v>0</v>
      </c>
      <c r="T33">
        <v>0</v>
      </c>
      <c r="U33">
        <v>0</v>
      </c>
      <c r="V33">
        <v>0.42</v>
      </c>
      <c r="W33">
        <v>0.32</v>
      </c>
    </row>
    <row r="34" spans="1:23" ht="120" x14ac:dyDescent="0.25">
      <c r="A34" s="1" t="s">
        <v>41</v>
      </c>
      <c r="B34" s="2" t="s">
        <v>124</v>
      </c>
      <c r="C34" s="2" t="s">
        <v>83</v>
      </c>
      <c r="F34">
        <v>335.82</v>
      </c>
      <c r="G34">
        <v>39.07</v>
      </c>
      <c r="H34">
        <v>69.16</v>
      </c>
      <c r="I34">
        <v>52.48</v>
      </c>
      <c r="J34">
        <v>45.98</v>
      </c>
      <c r="K34">
        <v>34.15</v>
      </c>
      <c r="L34">
        <v>40.520000000000003</v>
      </c>
      <c r="M34">
        <v>78.33</v>
      </c>
      <c r="N34">
        <v>47.64</v>
      </c>
      <c r="O34">
        <v>50.53</v>
      </c>
      <c r="P34">
        <v>1015.03</v>
      </c>
      <c r="T34">
        <v>807.43</v>
      </c>
      <c r="U34">
        <v>88.8</v>
      </c>
      <c r="V34">
        <v>80.760000000000005</v>
      </c>
      <c r="W34">
        <v>45.12</v>
      </c>
    </row>
    <row r="35" spans="1:23" ht="120" x14ac:dyDescent="0.25">
      <c r="A35" s="1" t="s">
        <v>42</v>
      </c>
      <c r="B35" s="2" t="s">
        <v>125</v>
      </c>
      <c r="C35" s="2" t="s">
        <v>84</v>
      </c>
      <c r="D35">
        <v>0</v>
      </c>
      <c r="E35">
        <v>0</v>
      </c>
      <c r="F35">
        <v>22.11</v>
      </c>
      <c r="G35">
        <v>5.31</v>
      </c>
      <c r="H35">
        <v>13.25</v>
      </c>
      <c r="I35">
        <v>13.58</v>
      </c>
      <c r="J35">
        <v>11.75</v>
      </c>
      <c r="K35">
        <v>9.2799999999999994</v>
      </c>
      <c r="L35">
        <v>10.07</v>
      </c>
      <c r="M35">
        <v>10.130000000000001</v>
      </c>
      <c r="N35">
        <v>7.75</v>
      </c>
      <c r="O35">
        <v>8.17</v>
      </c>
      <c r="P35">
        <v>11.42</v>
      </c>
      <c r="Q35">
        <v>9.06</v>
      </c>
      <c r="R35">
        <v>12.13</v>
      </c>
      <c r="S35">
        <v>20.97</v>
      </c>
      <c r="T35">
        <v>9.5</v>
      </c>
      <c r="U35">
        <v>4.03</v>
      </c>
      <c r="V35">
        <v>5.31</v>
      </c>
      <c r="W35">
        <v>4.1500000000000004</v>
      </c>
    </row>
    <row r="36" spans="1:23" ht="45" x14ac:dyDescent="0.25">
      <c r="A36" s="1" t="s">
        <v>43</v>
      </c>
      <c r="B36" s="2" t="s">
        <v>126</v>
      </c>
      <c r="C36" s="2" t="s">
        <v>80</v>
      </c>
      <c r="D36">
        <v>11.87</v>
      </c>
      <c r="E36">
        <v>6.81</v>
      </c>
      <c r="F36">
        <v>30.84</v>
      </c>
      <c r="G36">
        <v>10.25</v>
      </c>
      <c r="H36">
        <v>10.54</v>
      </c>
      <c r="I36">
        <v>18.47</v>
      </c>
      <c r="J36">
        <v>8.4</v>
      </c>
      <c r="K36">
        <v>7.2</v>
      </c>
      <c r="L36">
        <v>7.94</v>
      </c>
      <c r="M36">
        <v>8.76</v>
      </c>
      <c r="N36">
        <v>5.21</v>
      </c>
      <c r="O36">
        <v>2.93</v>
      </c>
      <c r="P36">
        <v>2.19</v>
      </c>
      <c r="Q36">
        <v>2.33</v>
      </c>
      <c r="R36">
        <v>0.94</v>
      </c>
      <c r="S36">
        <v>0.93</v>
      </c>
      <c r="T36">
        <v>1.2</v>
      </c>
      <c r="U36">
        <v>1.19</v>
      </c>
      <c r="V36">
        <v>1.0900000000000001</v>
      </c>
      <c r="W36">
        <v>1.27</v>
      </c>
    </row>
    <row r="37" spans="1:23" ht="45" x14ac:dyDescent="0.25">
      <c r="A37" s="1" t="s">
        <v>44</v>
      </c>
      <c r="B37" s="2" t="s">
        <v>127</v>
      </c>
      <c r="C37" s="2" t="s">
        <v>85</v>
      </c>
      <c r="D37">
        <v>5.3</v>
      </c>
      <c r="E37">
        <v>2.1800000000000002</v>
      </c>
      <c r="F37">
        <v>10.29</v>
      </c>
      <c r="G37">
        <v>12.92</v>
      </c>
      <c r="H37">
        <v>19.57</v>
      </c>
      <c r="I37">
        <v>24.77</v>
      </c>
      <c r="J37">
        <v>24.55</v>
      </c>
      <c r="K37">
        <v>24.26</v>
      </c>
      <c r="L37">
        <v>21.94</v>
      </c>
      <c r="M37">
        <v>9.31</v>
      </c>
      <c r="N37">
        <v>10.74</v>
      </c>
      <c r="O37">
        <v>11.5</v>
      </c>
      <c r="P37">
        <v>0.91</v>
      </c>
      <c r="Q37">
        <v>-1.87</v>
      </c>
      <c r="R37">
        <v>-4.9000000000000004</v>
      </c>
      <c r="S37">
        <v>-0.02</v>
      </c>
      <c r="T37">
        <v>1</v>
      </c>
      <c r="U37">
        <v>4.04</v>
      </c>
      <c r="V37">
        <v>6.3</v>
      </c>
      <c r="W37">
        <v>8.93</v>
      </c>
    </row>
    <row r="38" spans="1:23" ht="60" x14ac:dyDescent="0.25">
      <c r="A38" s="1" t="s">
        <v>45</v>
      </c>
      <c r="B38" s="2" t="s">
        <v>128</v>
      </c>
      <c r="C38" s="2" t="s">
        <v>86</v>
      </c>
      <c r="F38">
        <v>38.049999999999997</v>
      </c>
      <c r="G38">
        <v>20.329999999999998</v>
      </c>
      <c r="H38">
        <v>31.99</v>
      </c>
      <c r="I38">
        <v>39.19</v>
      </c>
      <c r="J38">
        <v>39.28</v>
      </c>
      <c r="K38">
        <v>39.78</v>
      </c>
      <c r="L38">
        <v>37.11</v>
      </c>
      <c r="M38">
        <v>20.76</v>
      </c>
      <c r="N38">
        <v>30.43</v>
      </c>
      <c r="O38">
        <v>35.5</v>
      </c>
      <c r="P38">
        <v>3.65</v>
      </c>
      <c r="Q38">
        <v>-11.04</v>
      </c>
      <c r="R38">
        <v>-14.22</v>
      </c>
      <c r="S38">
        <v>-0.05</v>
      </c>
      <c r="T38">
        <v>5.2200000000000006</v>
      </c>
      <c r="U38">
        <v>28.71</v>
      </c>
      <c r="V38">
        <v>40.299999999999997</v>
      </c>
      <c r="W38">
        <v>51.5</v>
      </c>
    </row>
    <row r="39" spans="1:23" ht="60" x14ac:dyDescent="0.25">
      <c r="A39" s="1" t="s">
        <v>46</v>
      </c>
      <c r="B39" s="2" t="s">
        <v>129</v>
      </c>
      <c r="C39" s="2" t="s">
        <v>87</v>
      </c>
      <c r="D39">
        <v>-1.05</v>
      </c>
      <c r="E39">
        <v>-1.32</v>
      </c>
      <c r="F39">
        <v>1.47</v>
      </c>
      <c r="G39">
        <v>1.68</v>
      </c>
      <c r="H39">
        <v>1.6</v>
      </c>
      <c r="I39">
        <v>1.57</v>
      </c>
      <c r="J39">
        <v>1.62</v>
      </c>
      <c r="K39">
        <v>1.65</v>
      </c>
      <c r="L39">
        <v>1.72</v>
      </c>
      <c r="M39">
        <v>2.72</v>
      </c>
      <c r="N39">
        <v>2.96</v>
      </c>
      <c r="O39">
        <v>3.19</v>
      </c>
      <c r="P39">
        <v>5.14</v>
      </c>
      <c r="Q39">
        <v>6.65</v>
      </c>
      <c r="R39">
        <v>2.2999999999999998</v>
      </c>
      <c r="S39">
        <v>3.95</v>
      </c>
      <c r="T39">
        <v>6.6</v>
      </c>
      <c r="U39">
        <v>7.52</v>
      </c>
      <c r="V39">
        <v>5.73</v>
      </c>
      <c r="W39">
        <v>5.79</v>
      </c>
    </row>
    <row r="40" spans="1:23" ht="150" x14ac:dyDescent="0.25">
      <c r="A40" s="1" t="s">
        <v>47</v>
      </c>
      <c r="B40" s="2" t="s">
        <v>130</v>
      </c>
      <c r="C40" s="2" t="s">
        <v>88</v>
      </c>
      <c r="D40">
        <v>2.4900000000000002</v>
      </c>
      <c r="E40">
        <v>7.02</v>
      </c>
      <c r="F40">
        <v>37.36</v>
      </c>
      <c r="G40">
        <v>31.75</v>
      </c>
      <c r="H40">
        <v>40.450000000000003</v>
      </c>
      <c r="I40">
        <v>41.14</v>
      </c>
      <c r="J40">
        <v>41.79</v>
      </c>
      <c r="K40">
        <v>50.9</v>
      </c>
      <c r="L40">
        <v>44.93</v>
      </c>
      <c r="M40">
        <v>27.9</v>
      </c>
      <c r="N40">
        <v>23.89</v>
      </c>
      <c r="O40">
        <v>28.92</v>
      </c>
      <c r="P40">
        <v>7.61</v>
      </c>
      <c r="Q40">
        <v>-5.75</v>
      </c>
      <c r="R40">
        <v>-13.77</v>
      </c>
      <c r="S40">
        <v>0</v>
      </c>
      <c r="T40">
        <v>6.36</v>
      </c>
      <c r="U40">
        <v>15.37</v>
      </c>
      <c r="V40">
        <v>25.13</v>
      </c>
      <c r="W40">
        <v>28.99</v>
      </c>
    </row>
    <row r="41" spans="1:23" ht="30" x14ac:dyDescent="0.25">
      <c r="A41" s="1" t="s">
        <v>48</v>
      </c>
      <c r="B41" s="5"/>
      <c r="C41" s="2" t="s">
        <v>89</v>
      </c>
      <c r="D41">
        <v>0</v>
      </c>
      <c r="E41">
        <v>0</v>
      </c>
      <c r="F41">
        <v>10.01</v>
      </c>
      <c r="G41">
        <v>8.1300000000000008</v>
      </c>
      <c r="H41">
        <v>10.24</v>
      </c>
      <c r="I41">
        <v>14.72</v>
      </c>
      <c r="J41">
        <v>9.52</v>
      </c>
      <c r="K41">
        <v>11.4</v>
      </c>
      <c r="L41">
        <v>15.53</v>
      </c>
      <c r="M41">
        <v>17.82</v>
      </c>
      <c r="N41">
        <v>13.48</v>
      </c>
      <c r="O41">
        <v>14.79</v>
      </c>
      <c r="P41">
        <v>14.17</v>
      </c>
      <c r="Q41">
        <v>14.39</v>
      </c>
      <c r="R41">
        <v>10.34</v>
      </c>
      <c r="S41">
        <v>10.130000000000001</v>
      </c>
      <c r="T41">
        <v>9.19</v>
      </c>
      <c r="U41">
        <v>12.36</v>
      </c>
      <c r="V41">
        <v>12.7</v>
      </c>
      <c r="W41">
        <v>13.64</v>
      </c>
    </row>
    <row r="42" spans="1:23" ht="30" x14ac:dyDescent="0.25">
      <c r="A42" s="1" t="s">
        <v>49</v>
      </c>
      <c r="B42" s="2" t="s">
        <v>131</v>
      </c>
      <c r="C42" s="2" t="s">
        <v>90</v>
      </c>
      <c r="D42">
        <v>1.84</v>
      </c>
      <c r="E42">
        <v>1.48</v>
      </c>
      <c r="F42">
        <v>2.5099999999999998</v>
      </c>
      <c r="G42">
        <v>1.07</v>
      </c>
      <c r="H42">
        <v>1.36</v>
      </c>
      <c r="I42">
        <v>1.1499999999999999</v>
      </c>
      <c r="J42">
        <v>1.69</v>
      </c>
      <c r="K42">
        <v>1.62</v>
      </c>
      <c r="L42">
        <v>1.46</v>
      </c>
      <c r="M42">
        <v>1.82</v>
      </c>
      <c r="N42">
        <v>1.69</v>
      </c>
      <c r="O42">
        <v>1.51</v>
      </c>
      <c r="P42">
        <v>1.33</v>
      </c>
      <c r="Q42">
        <v>1.29</v>
      </c>
      <c r="R42">
        <v>2.16</v>
      </c>
      <c r="S42">
        <v>1.44</v>
      </c>
      <c r="T42">
        <v>1.36</v>
      </c>
      <c r="U42">
        <v>1.26</v>
      </c>
      <c r="V42">
        <v>1.24</v>
      </c>
      <c r="W42">
        <v>1.2</v>
      </c>
    </row>
    <row r="43" spans="1:23" ht="75" x14ac:dyDescent="0.25">
      <c r="A43" s="1" t="s">
        <v>50</v>
      </c>
      <c r="B43" s="2" t="s">
        <v>132</v>
      </c>
      <c r="C43" s="2" t="s">
        <v>91</v>
      </c>
      <c r="D43">
        <v>-0.95899999999999996</v>
      </c>
      <c r="E43">
        <v>-0.92100000000000004</v>
      </c>
      <c r="F43">
        <v>2.073</v>
      </c>
      <c r="G43">
        <v>2.12</v>
      </c>
      <c r="H43">
        <v>2.5880000000000001</v>
      </c>
      <c r="I43">
        <v>3.891</v>
      </c>
      <c r="J43">
        <v>4.9649999999999999</v>
      </c>
      <c r="K43">
        <v>6.5640000000000001</v>
      </c>
      <c r="L43">
        <v>7.7789999999999999</v>
      </c>
      <c r="M43">
        <v>8.0579999999999998</v>
      </c>
      <c r="N43">
        <v>7.6879999999999997</v>
      </c>
      <c r="O43">
        <v>9.7119999999999997</v>
      </c>
      <c r="P43">
        <v>7.3780000000000001</v>
      </c>
      <c r="Q43">
        <v>7.4489999999999998</v>
      </c>
      <c r="R43">
        <v>39.893999999999998</v>
      </c>
      <c r="S43">
        <v>33.118000000000002</v>
      </c>
      <c r="T43">
        <v>30.366</v>
      </c>
      <c r="U43">
        <v>36.351999999999997</v>
      </c>
      <c r="V43">
        <v>60.576000000000001</v>
      </c>
      <c r="W43">
        <v>85.823999999999998</v>
      </c>
    </row>
    <row r="44" spans="1:23" ht="60" x14ac:dyDescent="0.25">
      <c r="A44" s="1" t="s">
        <v>51</v>
      </c>
      <c r="B44" s="5"/>
      <c r="C44" s="2" t="s">
        <v>92</v>
      </c>
      <c r="E44">
        <v>3</v>
      </c>
      <c r="F44">
        <v>6</v>
      </c>
      <c r="G44">
        <v>4</v>
      </c>
      <c r="H44">
        <v>8</v>
      </c>
      <c r="I44">
        <v>6</v>
      </c>
      <c r="J44">
        <v>6</v>
      </c>
      <c r="K44">
        <v>5</v>
      </c>
      <c r="L44">
        <v>3</v>
      </c>
      <c r="M44">
        <v>4</v>
      </c>
      <c r="N44">
        <v>4</v>
      </c>
      <c r="O44">
        <v>7</v>
      </c>
      <c r="P44">
        <v>6</v>
      </c>
      <c r="Q44">
        <v>2</v>
      </c>
      <c r="R44">
        <v>5</v>
      </c>
      <c r="S44">
        <v>3</v>
      </c>
      <c r="T44">
        <v>5</v>
      </c>
      <c r="U44">
        <v>6</v>
      </c>
      <c r="V44">
        <v>7</v>
      </c>
      <c r="W44">
        <v>7</v>
      </c>
    </row>
    <row r="45" spans="1:23" ht="90" x14ac:dyDescent="0.25">
      <c r="A45" s="1" t="s">
        <v>52</v>
      </c>
      <c r="B45" s="5"/>
      <c r="C45" s="2" t="s">
        <v>93</v>
      </c>
      <c r="D45">
        <v>-0.54</v>
      </c>
      <c r="E45">
        <v>0.03</v>
      </c>
      <c r="F45">
        <v>46.98</v>
      </c>
      <c r="G45">
        <v>8.24</v>
      </c>
      <c r="H45">
        <v>22.31</v>
      </c>
      <c r="I45">
        <v>20.23</v>
      </c>
      <c r="J45">
        <v>18.09</v>
      </c>
      <c r="K45">
        <v>13.68</v>
      </c>
      <c r="L45">
        <v>14.13</v>
      </c>
      <c r="M45">
        <v>7.38</v>
      </c>
      <c r="N45">
        <v>6.65</v>
      </c>
      <c r="O45">
        <v>6.35</v>
      </c>
      <c r="P45">
        <v>7.75</v>
      </c>
      <c r="Q45">
        <v>5.3</v>
      </c>
      <c r="R45">
        <v>7.38</v>
      </c>
      <c r="S45">
        <v>11.37</v>
      </c>
      <c r="T45">
        <v>5.95</v>
      </c>
      <c r="U45">
        <v>3.45</v>
      </c>
      <c r="V45">
        <v>4.82</v>
      </c>
      <c r="W45">
        <v>4.03</v>
      </c>
    </row>
    <row r="46" spans="1:23" ht="60" x14ac:dyDescent="0.25">
      <c r="A46" s="1" t="s">
        <v>53</v>
      </c>
      <c r="B46" s="5"/>
      <c r="C46" s="2" t="s">
        <v>94</v>
      </c>
      <c r="D46">
        <v>0</v>
      </c>
      <c r="E46">
        <v>1.71</v>
      </c>
      <c r="F46">
        <v>0.96</v>
      </c>
      <c r="G46">
        <v>3.07</v>
      </c>
      <c r="H46">
        <v>2.48</v>
      </c>
      <c r="I46">
        <v>1.62</v>
      </c>
      <c r="J46">
        <v>1.72</v>
      </c>
      <c r="K46">
        <v>2.5099999999999998</v>
      </c>
      <c r="L46">
        <v>2.41</v>
      </c>
      <c r="M46">
        <v>2.31</v>
      </c>
      <c r="N46">
        <v>2.83</v>
      </c>
      <c r="O46">
        <v>1.79</v>
      </c>
      <c r="P46">
        <v>2.48</v>
      </c>
      <c r="Q46">
        <v>2.88</v>
      </c>
      <c r="R46">
        <v>2.82</v>
      </c>
      <c r="S46">
        <v>2.6</v>
      </c>
      <c r="T46">
        <v>1.88</v>
      </c>
      <c r="U46">
        <v>2.76</v>
      </c>
      <c r="V46">
        <v>3.17</v>
      </c>
      <c r="W46">
        <v>2.82</v>
      </c>
    </row>
    <row r="47" spans="1:23" x14ac:dyDescent="0.25">
      <c r="A47" s="1" t="s">
        <v>54</v>
      </c>
      <c r="B47" s="5"/>
      <c r="C47" s="2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0.32</v>
      </c>
      <c r="K47">
        <v>0.436</v>
      </c>
      <c r="L47">
        <v>0.57199999999999995</v>
      </c>
      <c r="M47">
        <v>0.66400000000000003</v>
      </c>
      <c r="N47">
        <v>0.41199999999999998</v>
      </c>
      <c r="O47">
        <v>0.6</v>
      </c>
      <c r="P47">
        <v>0.6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25">
      <c r="A48" s="1" t="s">
        <v>55</v>
      </c>
      <c r="B48" s="5"/>
      <c r="C48" s="2" t="s">
        <v>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56</v>
      </c>
      <c r="K48">
        <v>36.25</v>
      </c>
      <c r="L48">
        <v>31.19</v>
      </c>
      <c r="M48">
        <v>16.079999999999998</v>
      </c>
      <c r="N48">
        <v>-37.950000000000003</v>
      </c>
      <c r="O48">
        <v>45.63</v>
      </c>
      <c r="P48">
        <v>0</v>
      </c>
      <c r="Q48">
        <v>-100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</sheetData>
  <hyperlinks>
    <hyperlink ref="A26" r:id="rId1" display="https://www.google.com/search?q=net+worth+to+long-term+debt+ratio&amp;sca_esv=2df5d5c022344074&amp;rlz=1C1ONGR_enMX1057MX1057&amp;biw=1920&amp;bih=911&amp;sxsrf=ANbL-n7UVPZaHmwPMiSCqXvTZOkxMry8vQ%3A1771637247727&amp;ei=_wmZaemLLPn7kPIP7_KvyQw&amp;oq=net+income+%2F+long+ter&amp;gs_lp=Egxnd3Mtd2l6LXNlcnAiFW5ldCBpbmNvbWUgLyBsb25nIHRlcioCCAAyBhAAGBYYHjIGEAAYFhgeMgYQABgWGB4yChAAGAgYHhgNGAoyCBAAGAgYHhgNMgsQABiABBiKBRiGAzIIEAAYgAQYogQyBRAAGO8FMgUQABjvBUilPVDuB1jELXADeAGQAQCYAaoCoAGSIKoBBjAuMTcuNLgBA8gBAPgBAZgCGKAC7yDCAgoQABhHGNYEGLADwgIEECMYJ8ICChAjGPAFGMkCGCfCAgoQIxieBhjwBRgnwgILEAAYgAQYigUYkQLCAgoQLhiABBiKBRhDwgIFEAAYgATCAgUQLhiABMICBBAuGCfCAgoQABiABBiKBRhDwgILEC4YgAQYxwEY0QPCAgoQABiABBgUGIcCwgIIEAAYgAQYywHCAg4QLhiABBjLARjHARjRA8ICBhAAGB4YDcICBRAhGKABwgIFECEYnwWYAwCIBgGQBgiSBwgzLjE1LjUuMaAH-6IBsgcIMC4xNS41LjG4B-YgwgcGMC4xNS45yAdCgAgB&amp;sclient=gws-wiz-serp&amp;ved=2ahUKEwjsvN2CuemSAxXIEkQIHRBUOyUQgK4QegQIARAB" xr:uid="{4BBA5611-1E32-4F54-BA12-D4B70458D4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rubio martinez</dc:creator>
  <cp:lastModifiedBy>marco antonio rubio martinez</cp:lastModifiedBy>
  <dcterms:created xsi:type="dcterms:W3CDTF">2026-02-19T00:34:01Z</dcterms:created>
  <dcterms:modified xsi:type="dcterms:W3CDTF">2026-02-21T03:09:41Z</dcterms:modified>
</cp:coreProperties>
</file>